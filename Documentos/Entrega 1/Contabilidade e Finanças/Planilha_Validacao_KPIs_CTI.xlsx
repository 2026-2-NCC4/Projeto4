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Dados" sheetId="2" state="visible" r:id="rId4"/>
    <sheet name="KPIs" sheetId="3" state="visible" r:id="rId5"/>
    <sheet name="Validaca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<sst xmlns="http://schemas.openxmlformats.org/spreadsheetml/2006/main" count="953" uniqueCount="173">
  <si>
    <t xml:space="preserve">Planilha de Validação dos KPIs – CTI (Contabilidade e Finanças – Entrega 01)</t>
  </si>
  <si>
    <t xml:space="preserve">Professor: Mauricio Lopes da Cunha  ·  Integrantes: Bruno Nobrega, Kaio Inglez, Mauricio Suster e Yuri Santana</t>
  </si>
  <si>
    <t xml:space="preserve">Abas: Premissas (valores que podem ser alterados) · Dados (contas do cenário 1 e ajustes do balanço) · KPIs (indicadores calculados com fórmulas) · Validacao (compara o Excel com o Python).</t>
  </si>
  <si>
    <t xml:space="preserve">Cores: células amarelas podem ser alteradas e toda a planilha recalcula; números em azul vieram do arquivo da CTI ou do Python; preto = fórmula.</t>
  </si>
  <si>
    <t xml:space="preserve">"n/a" = indicador não calculável (Ano 12 não tem balanço completo, ou divisão por zero).</t>
  </si>
  <si>
    <t xml:space="preserve">Premissa</t>
  </si>
  <si>
    <t xml:space="preserve">Valor</t>
  </si>
  <si>
    <t xml:space="preserve">Unidade</t>
  </si>
  <si>
    <t xml:space="preserve">Observação</t>
  </si>
  <si>
    <t xml:space="preserve">Parte variável dos custos</t>
  </si>
  <si>
    <t xml:space="preserve">%</t>
  </si>
  <si>
    <t xml:space="preserve">O arquivo não separa custo fixo e variável.</t>
  </si>
  <si>
    <t xml:space="preserve">Alíquota de IR e CSLL</t>
  </si>
  <si>
    <t xml:space="preserve">IRPJ 25% + CSLL 9%.</t>
  </si>
  <si>
    <t xml:space="preserve">Taxa livre de risco (Rf)</t>
  </si>
  <si>
    <t xml:space="preserve">% a.a.</t>
  </si>
  <si>
    <t xml:space="preserve">Premissa do grupo.</t>
  </si>
  <si>
    <t xml:space="preserve">Beta</t>
  </si>
  <si>
    <t xml:space="preserve">Setor de concessões.</t>
  </si>
  <si>
    <t xml:space="preserve">Prêmio de risco de mercado</t>
  </si>
  <si>
    <t xml:space="preserve">Valor usual de mercado.</t>
  </si>
  <si>
    <t xml:space="preserve">Custo do capital próprio (Ke)</t>
  </si>
  <si>
    <t xml:space="preserve">Fórmula: Rf + Beta × Prêmio.</t>
  </si>
  <si>
    <t xml:space="preserve">Custo da dívida (Kd)</t>
  </si>
  <si>
    <t xml:space="preserve">Custo médio da dívida nos dados ≈ 10%.</t>
  </si>
  <si>
    <t xml:space="preserve">Custo da dívida depois do IR</t>
  </si>
  <si>
    <t xml:space="preserve">Fórmula: Kd × (1 − alíquota).</t>
  </si>
  <si>
    <t xml:space="preserve">Ticket médio por cliente</t>
  </si>
  <si>
    <t xml:space="preserve">R$/ano</t>
  </si>
  <si>
    <t xml:space="preserve">Usado para estimar o número de clientes.</t>
  </si>
  <si>
    <t xml:space="preserve">Churn (perda de clientes)</t>
  </si>
  <si>
    <t xml:space="preserve">Gasto de aquisição de clientes</t>
  </si>
  <si>
    <t xml:space="preserve">% da receita líquida</t>
  </si>
  <si>
    <t xml:space="preserve">Tolerância da validação</t>
  </si>
  <si>
    <t xml:space="preserve">diferença relativa</t>
  </si>
  <si>
    <t xml:space="preserve">Diferença aceita entre Excel e Python.</t>
  </si>
  <si>
    <t xml:space="preserve">Contas do cenário 1 (valores do arquivo da CTI, em R$) e ajustes do balanço</t>
  </si>
  <si>
    <t xml:space="preserve">No arquivo, ativo e receitas são positivos; passivo, patrimônio líquido e despesas são negativos. Célula vazia = conta não existe no ano.</t>
  </si>
  <si>
    <t xml:space="preserve">Conta</t>
  </si>
  <si>
    <t xml:space="preserve">Ano 1</t>
  </si>
  <si>
    <t xml:space="preserve">Ano 2</t>
  </si>
  <si>
    <t xml:space="preserve">Ano 3</t>
  </si>
  <si>
    <t xml:space="preserve">Ano 4</t>
  </si>
  <si>
    <t xml:space="preserve">Ano 5</t>
  </si>
  <si>
    <t xml:space="preserve">Ano 6</t>
  </si>
  <si>
    <t xml:space="preserve">Ano 7</t>
  </si>
  <si>
    <t xml:space="preserve">Ano 8</t>
  </si>
  <si>
    <t xml:space="preserve">Ano 9</t>
  </si>
  <si>
    <t xml:space="preserve">Ano 10</t>
  </si>
  <si>
    <t xml:space="preserve">Ano 11</t>
  </si>
  <si>
    <t xml:space="preserve">Ano 12</t>
  </si>
  <si>
    <t xml:space="preserve">Receita</t>
  </si>
  <si>
    <t xml:space="preserve">Tributos</t>
  </si>
  <si>
    <t xml:space="preserve">Custos</t>
  </si>
  <si>
    <t xml:space="preserve">Depreciação e amortização</t>
  </si>
  <si>
    <t xml:space="preserve">Resultado operacional</t>
  </si>
  <si>
    <t xml:space="preserve">Outros resultados operacionais</t>
  </si>
  <si>
    <t xml:space="preserve">Despesas financeiras</t>
  </si>
  <si>
    <t xml:space="preserve">Resultado líquido</t>
  </si>
  <si>
    <t xml:space="preserve">Disponível (caixa)</t>
  </si>
  <si>
    <t xml:space="preserve">Estoques</t>
  </si>
  <si>
    <t xml:space="preserve">Ativo circulante</t>
  </si>
  <si>
    <t xml:space="preserve">Realizável a longo prazo</t>
  </si>
  <si>
    <t xml:space="preserve">Ativo permanente</t>
  </si>
  <si>
    <t xml:space="preserve">Total do ativo</t>
  </si>
  <si>
    <t xml:space="preserve">Passivo circulante (como vem no arquivo)</t>
  </si>
  <si>
    <t xml:space="preserve">Empréstimos de curto prazo</t>
  </si>
  <si>
    <t xml:space="preserve">Empréstimos de longo prazo</t>
  </si>
  <si>
    <t xml:space="preserve">Provisão para contingências</t>
  </si>
  <si>
    <t xml:space="preserve">Outros débitos de longo prazo</t>
  </si>
  <si>
    <t xml:space="preserve">Patrimônio líquido</t>
  </si>
  <si>
    <t xml:space="preserve">Ajustes e valores auxiliares (fórmulas)</t>
  </si>
  <si>
    <t xml:space="preserve">Balanço completo? (1 = sim; Ano 12 = 0)</t>
  </si>
  <si>
    <t xml:space="preserve">Dívida bruta = −(empréstimos CP + LP)</t>
  </si>
  <si>
    <t xml:space="preserve">Parte da dívida que vence no ano seguinte</t>
  </si>
  <si>
    <t xml:space="preserve">Passivo circulante ajustado (PC*)</t>
  </si>
  <si>
    <t xml:space="preserve">Exigível a longo prazo ajustado (ELP*)</t>
  </si>
  <si>
    <t xml:space="preserve">Exigível total (PC* + ELP*)</t>
  </si>
  <si>
    <t xml:space="preserve">Patrimônio líquido (positivo)</t>
  </si>
  <si>
    <t xml:space="preserve">Patrimônio líquido no início do ano</t>
  </si>
  <si>
    <t xml:space="preserve">Dívida bruta no início do ano</t>
  </si>
  <si>
    <t xml:space="preserve">Capital investido (PL + dívida no início do ano)</t>
  </si>
  <si>
    <t xml:space="preserve">EBIT (resultado operacional + outros)</t>
  </si>
  <si>
    <t xml:space="preserve">Clientes (receita líquida ÷ ticket) – simulado</t>
  </si>
  <si>
    <t xml:space="preserve">Novos clientes no ano – simulado</t>
  </si>
  <si>
    <t xml:space="preserve">Por que ajustar: a linha de empréstimos de curto prazo fica positiva a partir do Ano 4 (o modelo acumula ali as amortizações). A dívida é a soma das duas linhas e a parte que vence no ano seguinte vai para o passivo circulante.</t>
  </si>
  <si>
    <t xml:space="preserve">KPIs do cenário 1 – calculados com fórmulas (IDs iguais aos do dicionário)</t>
  </si>
  <si>
    <t xml:space="preserve">* PC e ELP ajustados (ver aba Dados). Valores em R$; margens em %.</t>
  </si>
  <si>
    <t xml:space="preserve">ID</t>
  </si>
  <si>
    <t xml:space="preserve">Indicador</t>
  </si>
  <si>
    <t xml:space="preserve">A. Receita, custos e margens</t>
  </si>
  <si>
    <t xml:space="preserve">A01</t>
  </si>
  <si>
    <t xml:space="preserve">Receita bruta</t>
  </si>
  <si>
    <t xml:space="preserve">R$</t>
  </si>
  <si>
    <t xml:space="preserve">A03</t>
  </si>
  <si>
    <t xml:space="preserve">Receita líquida</t>
  </si>
  <si>
    <t xml:space="preserve">A04</t>
  </si>
  <si>
    <t xml:space="preserve">Custos operacionais</t>
  </si>
  <si>
    <t xml:space="preserve">A05</t>
  </si>
  <si>
    <t xml:space="preserve">Custos variáveis (simulado)</t>
  </si>
  <si>
    <t xml:space="preserve">A07</t>
  </si>
  <si>
    <t xml:space="preserve">Margem de contribuição</t>
  </si>
  <si>
    <t xml:space="preserve">A08</t>
  </si>
  <si>
    <t xml:space="preserve">Índice de margem de contribuição</t>
  </si>
  <si>
    <t xml:space="preserve">A10</t>
  </si>
  <si>
    <t xml:space="preserve">EBITDA</t>
  </si>
  <si>
    <t xml:space="preserve">A11</t>
  </si>
  <si>
    <t xml:space="preserve">Margem EBITDA</t>
  </si>
  <si>
    <t xml:space="preserve">A13</t>
  </si>
  <si>
    <t xml:space="preserve">Lucro líquido</t>
  </si>
  <si>
    <t xml:space="preserve">A14</t>
  </si>
  <si>
    <t xml:space="preserve">Margem líquida</t>
  </si>
  <si>
    <t xml:space="preserve">B. Liquidez</t>
  </si>
  <si>
    <t xml:space="preserve">B01</t>
  </si>
  <si>
    <t xml:space="preserve">Liquidez corrente</t>
  </si>
  <si>
    <t xml:space="preserve">x</t>
  </si>
  <si>
    <t xml:space="preserve">B02</t>
  </si>
  <si>
    <t xml:space="preserve">Liquidez seca</t>
  </si>
  <si>
    <t xml:space="preserve">B03</t>
  </si>
  <si>
    <t xml:space="preserve">Liquidez imediata</t>
  </si>
  <si>
    <t xml:space="preserve">B04</t>
  </si>
  <si>
    <t xml:space="preserve">Liquidez geral</t>
  </si>
  <si>
    <t xml:space="preserve">B05</t>
  </si>
  <si>
    <t xml:space="preserve">Capital circulante líquido</t>
  </si>
  <si>
    <t xml:space="preserve">C. Endividamento</t>
  </si>
  <si>
    <t xml:space="preserve">C01</t>
  </si>
  <si>
    <t xml:space="preserve">Dívida bruta</t>
  </si>
  <si>
    <t xml:space="preserve">C03</t>
  </si>
  <si>
    <t xml:space="preserve">Endividamento geral</t>
  </si>
  <si>
    <t xml:space="preserve">C04</t>
  </si>
  <si>
    <t xml:space="preserve">Participação de capitais de terceiros</t>
  </si>
  <si>
    <t xml:space="preserve">C05</t>
  </si>
  <si>
    <t xml:space="preserve">Composição do endividamento</t>
  </si>
  <si>
    <t xml:space="preserve">C06</t>
  </si>
  <si>
    <t xml:space="preserve">Imobilização do PL</t>
  </si>
  <si>
    <t xml:space="preserve">C07</t>
  </si>
  <si>
    <t xml:space="preserve">Imobilização dos recursos não correntes</t>
  </si>
  <si>
    <t xml:space="preserve">C08</t>
  </si>
  <si>
    <t xml:space="preserve">Dívida líquida / EBITDA</t>
  </si>
  <si>
    <t xml:space="preserve">C09</t>
  </si>
  <si>
    <t xml:space="preserve">Cobertura de juros</t>
  </si>
  <si>
    <t xml:space="preserve">D. Criação de valor</t>
  </si>
  <si>
    <t xml:space="preserve">D01</t>
  </si>
  <si>
    <t xml:space="preserve">NOPAT</t>
  </si>
  <si>
    <t xml:space="preserve">D06</t>
  </si>
  <si>
    <t xml:space="preserve">WACC</t>
  </si>
  <si>
    <t xml:space="preserve">D08</t>
  </si>
  <si>
    <t xml:space="preserve">EVA</t>
  </si>
  <si>
    <t xml:space="preserve">D09</t>
  </si>
  <si>
    <t xml:space="preserve">MVA (simulado)</t>
  </si>
  <si>
    <t xml:space="preserve">E. Clientes (simulado)</t>
  </si>
  <si>
    <t xml:space="preserve">E04</t>
  </si>
  <si>
    <t xml:space="preserve">CAC</t>
  </si>
  <si>
    <t xml:space="preserve">R$/cliente</t>
  </si>
  <si>
    <t xml:space="preserve">E06</t>
  </si>
  <si>
    <t xml:space="preserve">LTV</t>
  </si>
  <si>
    <t xml:space="preserve">E07</t>
  </si>
  <si>
    <t xml:space="preserve">LTV / CAC</t>
  </si>
  <si>
    <t xml:space="preserve">MVA na data inicial (valor presente dos EVAs dos Anos 1 a 12)</t>
  </si>
  <si>
    <t xml:space="preserve">Validação: Excel (aba KPIs) × Python (script calculo_kpis.py)</t>
  </si>
  <si>
    <t xml:space="preserve">Para cada KPI e ano, o valor calculado pelas fórmulas do Excel é comparado com o valor calculado em Python.</t>
  </si>
  <si>
    <t xml:space="preserve">Comparações</t>
  </si>
  <si>
    <t xml:space="preserve">OK</t>
  </si>
  <si>
    <t xml:space="preserve">Diferentes</t>
  </si>
  <si>
    <t xml:space="preserve">Resultado</t>
  </si>
  <si>
    <t xml:space="preserve">Ano</t>
  </si>
  <si>
    <t xml:space="preserve">Python</t>
  </si>
  <si>
    <t xml:space="preserve">Excel</t>
  </si>
  <si>
    <t xml:space="preserve">Diferença</t>
  </si>
  <si>
    <t xml:space="preserve">Status</t>
  </si>
  <si>
    <t xml:space="preserve">n/a</t>
  </si>
  <si>
    <t xml:space="preserve">MVA na data inicial</t>
  </si>
  <si>
    <t xml:space="preserve">inicial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</si>
</sst>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"/>
    <numFmt numFmtId="167" formatCode="#,##0"/>
    <numFmt numFmtId="168" formatCode="0.000000"/>
    <numFmt numFmtId="169" formatCode="#,##0;\-#,##0"/>
    <numFmt numFmtId="170" formatCode="0"/>
    <numFmt numFmtId="171" formatCode="#,##0.00"/>
    <numFmt numFmtId="172" formatCode="General"/>
    <numFmt numFmtId="173" formatCode="0.00E+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CE4D6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7" customFormat="false" ht="15" hidden="false" customHeight="false" outlineLevel="0" collapsed="false">
      <c r="A7" s="3" t="s">
        <v>5</v>
      </c>
      <c r="B7" s="3" t="s">
        <v>6</v>
      </c>
      <c r="C7" s="3" t="s">
        <v>7</v>
      </c>
      <c r="D7" s="3" t="s">
        <v>8</v>
      </c>
    </row>
    <row r="8" customFormat="false" ht="15" hidden="false" customHeight="false" outlineLevel="0" collapsed="false">
      <c r="A8" s="4" t="s">
        <v>9</v>
      </c>
      <c r="B8" s="5" t="n">
        <v>0.3</v>
      </c>
      <c r="C8" s="4" t="s">
        <v>10</v>
      </c>
      <c r="D8" s="4" t="s">
        <v>11</v>
      </c>
    </row>
    <row r="9" customFormat="false" ht="15" hidden="false" customHeight="false" outlineLevel="0" collapsed="false">
      <c r="A9" s="4" t="s">
        <v>12</v>
      </c>
      <c r="B9" s="5" t="n">
        <v>0.34</v>
      </c>
      <c r="C9" s="4" t="s">
        <v>10</v>
      </c>
      <c r="D9" s="4" t="s">
        <v>13</v>
      </c>
    </row>
    <row r="10" customFormat="false" ht="15" hidden="false" customHeight="false" outlineLevel="0" collapsed="false">
      <c r="A10" s="4" t="s">
        <v>14</v>
      </c>
      <c r="B10" s="5" t="n">
        <v>0.1</v>
      </c>
      <c r="C10" s="4" t="s">
        <v>15</v>
      </c>
      <c r="D10" s="4" t="s">
        <v>16</v>
      </c>
    </row>
    <row r="11" customFormat="false" ht="15" hidden="false" customHeight="false" outlineLevel="0" collapsed="false">
      <c r="A11" s="4" t="s">
        <v>17</v>
      </c>
      <c r="B11" s="6" t="n">
        <v>0.8</v>
      </c>
      <c r="C11" s="4"/>
      <c r="D11" s="4" t="s">
        <v>18</v>
      </c>
    </row>
    <row r="12" customFormat="false" ht="15" hidden="false" customHeight="false" outlineLevel="0" collapsed="false">
      <c r="A12" s="4" t="s">
        <v>19</v>
      </c>
      <c r="B12" s="5" t="n">
        <v>0.06</v>
      </c>
      <c r="C12" s="4" t="s">
        <v>15</v>
      </c>
      <c r="D12" s="4" t="s">
        <v>20</v>
      </c>
    </row>
    <row r="13" customFormat="false" ht="15" hidden="false" customHeight="false" outlineLevel="0" collapsed="false">
      <c r="A13" s="4" t="s">
        <v>21</v>
      </c>
      <c r="B13" s="7" t="n">
        <f aca="false">B10+B11*B12</f>
        <v>0.148</v>
      </c>
      <c r="C13" s="4" t="s">
        <v>15</v>
      </c>
      <c r="D13" s="4" t="s">
        <v>22</v>
      </c>
    </row>
    <row r="14" customFormat="false" ht="15" hidden="false" customHeight="false" outlineLevel="0" collapsed="false">
      <c r="A14" s="4" t="s">
        <v>23</v>
      </c>
      <c r="B14" s="5" t="n">
        <v>0.1</v>
      </c>
      <c r="C14" s="4" t="s">
        <v>15</v>
      </c>
      <c r="D14" s="4" t="s">
        <v>24</v>
      </c>
    </row>
    <row r="15" customFormat="false" ht="15" hidden="false" customHeight="false" outlineLevel="0" collapsed="false">
      <c r="A15" s="4" t="s">
        <v>25</v>
      </c>
      <c r="B15" s="7" t="n">
        <f aca="false">B14*(1-B9)</f>
        <v>0.066</v>
      </c>
      <c r="C15" s="4" t="s">
        <v>15</v>
      </c>
      <c r="D15" s="4" t="s">
        <v>26</v>
      </c>
    </row>
    <row r="16" customFormat="false" ht="15" hidden="false" customHeight="false" outlineLevel="0" collapsed="false">
      <c r="A16" s="4" t="s">
        <v>27</v>
      </c>
      <c r="B16" s="8" t="n">
        <v>1200</v>
      </c>
      <c r="C16" s="4" t="s">
        <v>28</v>
      </c>
      <c r="D16" s="4" t="s">
        <v>29</v>
      </c>
    </row>
    <row r="17" customFormat="false" ht="15" hidden="false" customHeight="false" outlineLevel="0" collapsed="false">
      <c r="A17" s="4" t="s">
        <v>30</v>
      </c>
      <c r="B17" s="5" t="n">
        <v>0.15</v>
      </c>
      <c r="C17" s="4" t="s">
        <v>15</v>
      </c>
      <c r="D17" s="4"/>
    </row>
    <row r="18" customFormat="false" ht="15" hidden="false" customHeight="false" outlineLevel="0" collapsed="false">
      <c r="A18" s="4" t="s">
        <v>31</v>
      </c>
      <c r="B18" s="5" t="n">
        <v>0.02</v>
      </c>
      <c r="C18" s="4" t="s">
        <v>32</v>
      </c>
      <c r="D18" s="4"/>
    </row>
    <row r="19" customFormat="false" ht="15" hidden="false" customHeight="false" outlineLevel="0" collapsed="false">
      <c r="A19" s="4" t="s">
        <v>33</v>
      </c>
      <c r="B19" s="9" t="n">
        <v>1E-006</v>
      </c>
      <c r="C19" s="4" t="s">
        <v>34</v>
      </c>
      <c r="D19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5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0" t="s">
        <v>37</v>
      </c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</row>
    <row r="5" customFormat="false" ht="15" hidden="false" customHeight="false" outlineLevel="0" collapsed="false">
      <c r="A5" s="4" t="s">
        <v>51</v>
      </c>
      <c r="B5" s="11" t="n">
        <v>6722729306.39378</v>
      </c>
      <c r="C5" s="11" t="n">
        <v>6114937124.26453</v>
      </c>
      <c r="D5" s="11" t="n">
        <v>6251283407.10515</v>
      </c>
      <c r="E5" s="11" t="n">
        <v>6506532056.98804</v>
      </c>
      <c r="F5" s="11" t="n">
        <v>6844711176.35969</v>
      </c>
      <c r="G5" s="11" t="n">
        <v>7270773000.43272</v>
      </c>
      <c r="H5" s="11" t="n">
        <v>7720095941.31161</v>
      </c>
      <c r="I5" s="11" t="n">
        <v>8248988345.01317</v>
      </c>
      <c r="J5" s="11" t="n">
        <v>8756415620.76972</v>
      </c>
      <c r="K5" s="11" t="n">
        <v>9334635921.08705</v>
      </c>
      <c r="L5" s="11" t="n">
        <v>9930604301.88649</v>
      </c>
      <c r="M5" s="11" t="n">
        <v>12222538183.3716</v>
      </c>
    </row>
    <row r="6" customFormat="false" ht="15" hidden="false" customHeight="false" outlineLevel="0" collapsed="false">
      <c r="A6" s="4" t="s">
        <v>52</v>
      </c>
      <c r="B6" s="11" t="n">
        <v>-471464205.937495</v>
      </c>
      <c r="C6" s="11" t="n">
        <v>-503818800.474429</v>
      </c>
      <c r="D6" s="11" t="n">
        <v>-529702475.096357</v>
      </c>
      <c r="E6" s="11" t="n">
        <v>-557361796.117201</v>
      </c>
      <c r="F6" s="11" t="n">
        <v>-589245581.830747</v>
      </c>
      <c r="G6" s="11" t="n">
        <v>-626053899.391699</v>
      </c>
      <c r="H6" s="11" t="n">
        <v>-666918805.499554</v>
      </c>
      <c r="I6" s="11" t="n">
        <v>-712987767.238262</v>
      </c>
      <c r="J6" s="11" t="n">
        <v>-756187610.452616</v>
      </c>
      <c r="K6" s="11" t="n">
        <v>-805575253.373804</v>
      </c>
      <c r="L6" s="11" t="n">
        <v>-857981024.39278</v>
      </c>
      <c r="M6" s="11" t="n">
        <v>-1056766275.3949</v>
      </c>
    </row>
    <row r="7" customFormat="false" ht="15" hidden="false" customHeight="false" outlineLevel="0" collapsed="false">
      <c r="A7" s="4" t="s">
        <v>53</v>
      </c>
      <c r="B7" s="11" t="n">
        <v>-1361164977.97289</v>
      </c>
      <c r="C7" s="11" t="n">
        <v>-1333291234.71079</v>
      </c>
      <c r="D7" s="11" t="n">
        <v>-1232952687.66395</v>
      </c>
      <c r="E7" s="11" t="n">
        <v>-1236163367.29018</v>
      </c>
      <c r="F7" s="11" t="n">
        <v>-1127880696.546</v>
      </c>
      <c r="G7" s="11" t="n">
        <v>-1140221929.44043</v>
      </c>
      <c r="H7" s="11" t="n">
        <v>-1269191986.58661</v>
      </c>
      <c r="I7" s="11" t="n">
        <v>-1342629109.83207</v>
      </c>
      <c r="J7" s="11" t="n">
        <v>-1412146278.23768</v>
      </c>
      <c r="K7" s="11" t="n">
        <v>-1277249272.09179</v>
      </c>
      <c r="L7" s="11" t="n">
        <v>-1051992505.92302</v>
      </c>
      <c r="M7" s="11" t="n">
        <v>-1094296472.7523</v>
      </c>
    </row>
    <row r="8" customFormat="false" ht="15" hidden="false" customHeight="false" outlineLevel="0" collapsed="false">
      <c r="A8" s="4" t="s">
        <v>54</v>
      </c>
      <c r="B8" s="11" t="n">
        <v>-603571535.830539</v>
      </c>
      <c r="C8" s="11" t="n">
        <v>-728268458.56719</v>
      </c>
      <c r="D8" s="11" t="n">
        <v>-778741018.518034</v>
      </c>
      <c r="E8" s="11" t="n">
        <v>-813959834.32402</v>
      </c>
      <c r="F8" s="11" t="n">
        <v>-829356637.681694</v>
      </c>
      <c r="G8" s="11" t="n">
        <v>-847387474.889186</v>
      </c>
      <c r="H8" s="11" t="n">
        <v>-870554205.581372</v>
      </c>
      <c r="I8" s="11" t="n">
        <v>-889480097.478613</v>
      </c>
      <c r="J8" s="11" t="n">
        <v>-904419790.083688</v>
      </c>
      <c r="K8" s="11" t="n">
        <v>-932666994.89044</v>
      </c>
      <c r="L8" s="11" t="n">
        <v>-955934597.508132</v>
      </c>
      <c r="M8" s="11" t="n">
        <v>-1060165549.80612</v>
      </c>
    </row>
    <row r="9" customFormat="false" ht="15" hidden="false" customHeight="false" outlineLevel="0" collapsed="false">
      <c r="A9" s="4" t="s">
        <v>55</v>
      </c>
      <c r="B9" s="11" t="n">
        <v>4286528586.65286</v>
      </c>
      <c r="C9" s="11" t="n">
        <v>3549558630.51212</v>
      </c>
      <c r="D9" s="11" t="n">
        <v>3709887225.82681</v>
      </c>
      <c r="E9" s="11" t="n">
        <v>3899047059.25664</v>
      </c>
      <c r="F9" s="11" t="n">
        <v>4298228260.30125</v>
      </c>
      <c r="G9" s="11" t="n">
        <v>4657109696.71141</v>
      </c>
      <c r="H9" s="11" t="n">
        <v>4913430943.64407</v>
      </c>
      <c r="I9" s="11" t="n">
        <v>5303891370.46423</v>
      </c>
      <c r="J9" s="11" t="n">
        <v>5683661941.99574</v>
      </c>
      <c r="K9" s="11" t="n">
        <v>6319144400.73101</v>
      </c>
      <c r="L9" s="11" t="n">
        <v>7064696174.06255</v>
      </c>
      <c r="M9" s="11" t="n">
        <v>9011309885.41833</v>
      </c>
    </row>
    <row r="10" customFormat="false" ht="15" hidden="false" customHeight="false" outlineLevel="0" collapsed="false">
      <c r="A10" s="4" t="s">
        <v>56</v>
      </c>
      <c r="B10" s="11" t="n">
        <v>39084400.54356</v>
      </c>
      <c r="C10" s="11" t="n">
        <v>42580035.4187597</v>
      </c>
      <c r="D10" s="11" t="n">
        <v>47264402.2257698</v>
      </c>
      <c r="E10" s="11" t="n">
        <v>45852292.2440659</v>
      </c>
      <c r="F10" s="11" t="n">
        <v>45879927.0926797</v>
      </c>
      <c r="G10" s="11" t="n">
        <v>47279580.0786784</v>
      </c>
      <c r="H10" s="11" t="n">
        <v>48632678.259094</v>
      </c>
      <c r="I10" s="11" t="n">
        <v>50095382.1587616</v>
      </c>
      <c r="J10" s="11" t="n">
        <v>51671286.5947268</v>
      </c>
      <c r="K10" s="11" t="n">
        <v>53203405.8810175</v>
      </c>
      <c r="L10" s="11" t="n">
        <v>54770298.9691256</v>
      </c>
      <c r="M10" s="11" t="n">
        <v>1473658872.39153</v>
      </c>
    </row>
    <row r="11" customFormat="false" ht="15" hidden="false" customHeight="false" outlineLevel="0" collapsed="false">
      <c r="A11" s="4" t="s">
        <v>57</v>
      </c>
      <c r="B11" s="11" t="n">
        <v>-693974699.783634</v>
      </c>
      <c r="C11" s="11" t="n">
        <v>-688830593.656655</v>
      </c>
      <c r="D11" s="11" t="n">
        <v>-624054071.329108</v>
      </c>
      <c r="E11" s="11" t="n">
        <v>-594041601.795119</v>
      </c>
      <c r="F11" s="11" t="n">
        <v>-432444044.032015</v>
      </c>
      <c r="G11" s="11" t="n">
        <v>-231634206.253612</v>
      </c>
      <c r="H11" s="11" t="n">
        <v>-184148988.886676</v>
      </c>
      <c r="I11" s="11" t="n">
        <v>-175431445.310561</v>
      </c>
      <c r="J11" s="11" t="n">
        <v>-188476598.130135</v>
      </c>
      <c r="K11" s="11" t="n">
        <v>-118818471.481189</v>
      </c>
      <c r="L11" s="11" t="n">
        <v>-40753914.8131639</v>
      </c>
      <c r="M11" s="11" t="n">
        <v>-19368851.6893407</v>
      </c>
    </row>
    <row r="12" customFormat="false" ht="15" hidden="false" customHeight="false" outlineLevel="0" collapsed="false">
      <c r="A12" s="4" t="s">
        <v>58</v>
      </c>
      <c r="B12" s="11" t="n">
        <v>2443242968.32408</v>
      </c>
      <c r="C12" s="11" t="n">
        <v>2000833838.1908</v>
      </c>
      <c r="D12" s="11" t="n">
        <v>2123145509.60886</v>
      </c>
      <c r="E12" s="11" t="n">
        <v>2318127489.23197</v>
      </c>
      <c r="F12" s="11" t="n">
        <v>2642606482.79264</v>
      </c>
      <c r="G12" s="11" t="n">
        <v>2955369242.56613</v>
      </c>
      <c r="H12" s="11" t="n">
        <v>3153307023.47259</v>
      </c>
      <c r="I12" s="11" t="n">
        <v>3428036570.71787</v>
      </c>
      <c r="J12" s="11" t="n">
        <v>3734759682.21362</v>
      </c>
      <c r="K12" s="11" t="n">
        <v>4238240524.87838</v>
      </c>
      <c r="L12" s="11" t="n">
        <v>4800115709.59858</v>
      </c>
      <c r="M12" s="11" t="n">
        <v>7093819432.34778</v>
      </c>
    </row>
    <row r="13" customFormat="false" ht="15" hidden="false" customHeight="false" outlineLevel="0" collapsed="false">
      <c r="A13" s="4" t="s">
        <v>59</v>
      </c>
      <c r="B13" s="11" t="n">
        <v>1205264965.51818</v>
      </c>
      <c r="C13" s="11" t="n">
        <v>1022427444.78096</v>
      </c>
      <c r="D13" s="11" t="n">
        <v>1748421038.97609</v>
      </c>
      <c r="E13" s="11" t="n">
        <v>1117390302.72701</v>
      </c>
      <c r="F13" s="11" t="n">
        <v>307386372.003722</v>
      </c>
      <c r="G13" s="11" t="n">
        <v>266175008.149808</v>
      </c>
      <c r="H13" s="11" t="n">
        <v>427692977.250827</v>
      </c>
      <c r="I13" s="11" t="n">
        <v>1369964064.21095</v>
      </c>
      <c r="J13" s="11" t="n">
        <v>1923333134.54072</v>
      </c>
      <c r="K13" s="11" t="n">
        <v>2325378098.85896</v>
      </c>
      <c r="L13" s="11" t="n">
        <v>3245809906.77052</v>
      </c>
      <c r="M13" s="11" t="n">
        <v>418194930.319367</v>
      </c>
    </row>
    <row r="14" customFormat="false" ht="15" hidden="false" customHeight="false" outlineLevel="0" collapsed="false">
      <c r="A14" s="4" t="s">
        <v>60</v>
      </c>
      <c r="B14" s="11" t="n">
        <v>86620.78872148</v>
      </c>
      <c r="C14" s="11" t="n">
        <v>86620.78872148</v>
      </c>
      <c r="D14" s="11" t="n">
        <v>86620.78872148</v>
      </c>
      <c r="E14" s="11" t="n">
        <v>86620.78872148</v>
      </c>
      <c r="F14" s="11" t="n">
        <v>86620.78872148</v>
      </c>
      <c r="G14" s="11" t="n">
        <v>86620.78872148</v>
      </c>
      <c r="H14" s="11" t="n">
        <v>86620.78872148</v>
      </c>
      <c r="I14" s="11" t="n">
        <v>86620.78872148</v>
      </c>
      <c r="J14" s="11" t="n">
        <v>86620.78872148</v>
      </c>
      <c r="K14" s="11" t="n">
        <v>86620.78872148</v>
      </c>
      <c r="L14" s="11" t="n">
        <v>86620.78872148</v>
      </c>
      <c r="M14" s="12"/>
    </row>
    <row r="15" customFormat="false" ht="15" hidden="false" customHeight="false" outlineLevel="0" collapsed="false">
      <c r="A15" s="4" t="s">
        <v>61</v>
      </c>
      <c r="B15" s="11" t="n">
        <v>1795720872.17537</v>
      </c>
      <c r="C15" s="11" t="n">
        <v>1567978527.75263</v>
      </c>
      <c r="D15" s="11" t="n">
        <v>2292583955.8277</v>
      </c>
      <c r="E15" s="11" t="n">
        <v>1655696885.58522</v>
      </c>
      <c r="F15" s="11" t="n">
        <v>839378583.378948</v>
      </c>
      <c r="G15" s="11" t="n">
        <v>790768520.268515</v>
      </c>
      <c r="H15" s="11" t="n">
        <v>940740125.447148</v>
      </c>
      <c r="I15" s="11" t="n">
        <v>1779398738.6813</v>
      </c>
      <c r="J15" s="11" t="n">
        <v>2208645977.09512</v>
      </c>
      <c r="K15" s="11" t="n">
        <v>2461671910.57557</v>
      </c>
      <c r="L15" s="11" t="n">
        <v>3209590420.02258</v>
      </c>
      <c r="M15" s="11" t="n">
        <v>387716734.195325</v>
      </c>
    </row>
    <row r="16" customFormat="false" ht="15" hidden="false" customHeight="false" outlineLevel="0" collapsed="false">
      <c r="A16" s="4" t="s">
        <v>62</v>
      </c>
      <c r="B16" s="11" t="n">
        <v>639023858.22772</v>
      </c>
      <c r="C16" s="11" t="n">
        <v>906661187.513936</v>
      </c>
      <c r="D16" s="11" t="n">
        <v>1207936261.35958</v>
      </c>
      <c r="E16" s="11" t="n">
        <v>1372311926.26815</v>
      </c>
      <c r="F16" s="11" t="n">
        <v>1365913565.14571</v>
      </c>
      <c r="G16" s="11" t="n">
        <v>1606116902.96355</v>
      </c>
      <c r="H16" s="11" t="n">
        <v>1944243191.90868</v>
      </c>
      <c r="I16" s="11" t="n">
        <v>2316338873.64445</v>
      </c>
      <c r="J16" s="11" t="n">
        <v>2492400433.9592</v>
      </c>
      <c r="K16" s="11" t="n">
        <v>2431771709.70604</v>
      </c>
      <c r="L16" s="11" t="n">
        <v>2602154368.58704</v>
      </c>
      <c r="M16" s="11" t="n">
        <v>7.5E-008</v>
      </c>
    </row>
    <row r="17" customFormat="false" ht="15" hidden="false" customHeight="false" outlineLevel="0" collapsed="false">
      <c r="A17" s="4" t="s">
        <v>63</v>
      </c>
      <c r="B17" s="11" t="n">
        <v>8196382344.85479</v>
      </c>
      <c r="C17" s="11" t="n">
        <v>7880351990.48544</v>
      </c>
      <c r="D17" s="11" t="n">
        <v>7312204872.10754</v>
      </c>
      <c r="E17" s="11" t="n">
        <v>6618274168.78033</v>
      </c>
      <c r="F17" s="11" t="n">
        <v>5861988059.84818</v>
      </c>
      <c r="G17" s="11" t="n">
        <v>5127213720.65052</v>
      </c>
      <c r="H17" s="11" t="n">
        <v>4327649460.02849</v>
      </c>
      <c r="I17" s="11" t="n">
        <v>3487734655.3037</v>
      </c>
      <c r="J17" s="11" t="n">
        <v>2759136054.30208</v>
      </c>
      <c r="K17" s="11" t="n">
        <v>1923825932.69696</v>
      </c>
      <c r="L17" s="11" t="n">
        <v>1034067143.89456</v>
      </c>
      <c r="M17" s="11" t="n">
        <v>-297762390.000018</v>
      </c>
    </row>
    <row r="18" customFormat="false" ht="15" hidden="false" customHeight="false" outlineLevel="0" collapsed="false">
      <c r="A18" s="4" t="s">
        <v>64</v>
      </c>
      <c r="B18" s="11" t="n">
        <v>10631127075.2579</v>
      </c>
      <c r="C18" s="11" t="n">
        <v>10354991705.752</v>
      </c>
      <c r="D18" s="11" t="n">
        <v>10812725089.2948</v>
      </c>
      <c r="E18" s="11" t="n">
        <v>9646282980.6337</v>
      </c>
      <c r="F18" s="11" t="n">
        <v>8067280208.37284</v>
      </c>
      <c r="G18" s="11" t="n">
        <v>7524099143.88259</v>
      </c>
      <c r="H18" s="11" t="n">
        <v>7212632777.38432</v>
      </c>
      <c r="I18" s="11" t="n">
        <v>7583472267.62945</v>
      </c>
      <c r="J18" s="11" t="n">
        <v>7460182465.3564</v>
      </c>
      <c r="K18" s="11" t="n">
        <v>6817269552.97857</v>
      </c>
      <c r="L18" s="11" t="n">
        <v>6845811932.50419</v>
      </c>
      <c r="M18" s="11" t="n">
        <v>89954344.1953072</v>
      </c>
    </row>
    <row r="19" customFormat="false" ht="15" hidden="false" customHeight="false" outlineLevel="0" collapsed="false">
      <c r="A19" s="4" t="s">
        <v>65</v>
      </c>
      <c r="B19" s="11" t="n">
        <v>-1080928062.89879</v>
      </c>
      <c r="C19" s="11" t="n">
        <v>-1357704696.58962</v>
      </c>
      <c r="D19" s="11" t="n">
        <v>-1762030748.44035</v>
      </c>
      <c r="E19" s="11" t="n">
        <v>-498097649.96755</v>
      </c>
      <c r="F19" s="11" t="n">
        <v>1263215288.02608</v>
      </c>
      <c r="G19" s="11" t="n">
        <v>2001196639.24139</v>
      </c>
      <c r="H19" s="11" t="n">
        <v>2475827879.57111</v>
      </c>
      <c r="I19" s="11" t="n">
        <v>2327826307.73303</v>
      </c>
      <c r="J19" s="11" t="n">
        <v>2729358765.77448</v>
      </c>
      <c r="K19" s="11" t="n">
        <v>3806934134.6148</v>
      </c>
      <c r="L19" s="11" t="n">
        <v>4316747590.12456</v>
      </c>
      <c r="M19" s="11" t="n">
        <v>-115139749.933741</v>
      </c>
    </row>
    <row r="20" customFormat="false" ht="15" hidden="false" customHeight="false" outlineLevel="0" collapsed="false">
      <c r="A20" s="4" t="s">
        <v>66</v>
      </c>
      <c r="B20" s="11" t="n">
        <v>-279102364.238596</v>
      </c>
      <c r="C20" s="11" t="n">
        <v>-328383898.299798</v>
      </c>
      <c r="D20" s="11" t="n">
        <v>-369283812.708899</v>
      </c>
      <c r="E20" s="11" t="n">
        <v>838791171.263205</v>
      </c>
      <c r="F20" s="11" t="n">
        <v>2040214126.29061</v>
      </c>
      <c r="G20" s="11" t="n">
        <v>2898691224.85152</v>
      </c>
      <c r="H20" s="11" t="n">
        <v>3757705498.19731</v>
      </c>
      <c r="I20" s="11" t="n">
        <v>4077710571.78997</v>
      </c>
      <c r="J20" s="11" t="n">
        <v>4418330346.11254</v>
      </c>
      <c r="K20" s="11" t="n">
        <v>4781895772.17544</v>
      </c>
      <c r="L20" s="11" t="n">
        <v>5168360855.6388</v>
      </c>
      <c r="M20" s="11" t="n">
        <v>-2.76E-007</v>
      </c>
    </row>
    <row r="21" customFormat="false" ht="15" hidden="false" customHeight="false" outlineLevel="0" collapsed="false">
      <c r="A21" s="4" t="s">
        <v>67</v>
      </c>
      <c r="B21" s="11" t="n">
        <v>-5649256635.70039</v>
      </c>
      <c r="C21" s="11" t="n">
        <v>-5649256635.70039</v>
      </c>
      <c r="D21" s="11" t="n">
        <v>-5649256635.70039</v>
      </c>
      <c r="E21" s="11" t="n">
        <v>-5649256635.70039</v>
      </c>
      <c r="F21" s="11" t="n">
        <v>-5649256635.70039</v>
      </c>
      <c r="G21" s="11" t="n">
        <v>-5649256635.70039</v>
      </c>
      <c r="H21" s="11" t="n">
        <v>-5649256635.70039</v>
      </c>
      <c r="I21" s="11" t="n">
        <v>-5644644236.49731</v>
      </c>
      <c r="J21" s="11" t="n">
        <v>-5639889922.11504</v>
      </c>
      <c r="K21" s="11" t="n">
        <v>-5634923652.39471</v>
      </c>
      <c r="L21" s="11" t="n">
        <v>-5629633704.99414</v>
      </c>
      <c r="M21" s="12"/>
    </row>
    <row r="22" customFormat="false" ht="15" hidden="false" customHeight="false" outlineLevel="0" collapsed="false">
      <c r="A22" s="4" t="s">
        <v>68</v>
      </c>
      <c r="B22" s="11" t="n">
        <v>-38502464.6142398</v>
      </c>
      <c r="C22" s="11" t="n">
        <v>-38502464.6142398</v>
      </c>
      <c r="D22" s="11" t="n">
        <v>-38502464.6142398</v>
      </c>
      <c r="E22" s="11" t="n">
        <v>-38502464.6142398</v>
      </c>
      <c r="F22" s="11" t="n">
        <v>-38502464.6142398</v>
      </c>
      <c r="G22" s="11" t="n">
        <v>-38502464.6142398</v>
      </c>
      <c r="H22" s="11" t="n">
        <v>-38502464.6142398</v>
      </c>
      <c r="I22" s="11" t="n">
        <v>-38502464.6142398</v>
      </c>
      <c r="J22" s="11" t="n">
        <v>-38502464.6142398</v>
      </c>
      <c r="K22" s="11" t="n">
        <v>-38502464.6142398</v>
      </c>
      <c r="L22" s="11" t="n">
        <v>-38502464.6142398</v>
      </c>
      <c r="M22" s="12"/>
    </row>
    <row r="23" customFormat="false" ht="15" hidden="false" customHeight="false" outlineLevel="0" collapsed="false">
      <c r="A23" s="4" t="s">
        <v>69</v>
      </c>
      <c r="B23" s="11" t="n">
        <v>-1848004675.05962</v>
      </c>
      <c r="C23" s="11" t="n">
        <v>-1848004675.05962</v>
      </c>
      <c r="D23" s="11" t="n">
        <v>-1848004675.05962</v>
      </c>
      <c r="E23" s="11" t="n">
        <v>-1848004675.05962</v>
      </c>
      <c r="F23" s="11" t="n">
        <v>-1848004675.05962</v>
      </c>
      <c r="G23" s="11" t="n">
        <v>-1848004675.05962</v>
      </c>
      <c r="H23" s="11" t="n">
        <v>-1848004675.05962</v>
      </c>
      <c r="I23" s="11" t="n">
        <v>-1848004675.05962</v>
      </c>
      <c r="J23" s="11" t="n">
        <v>-1848004675.05962</v>
      </c>
      <c r="K23" s="11" t="n">
        <v>-1848004675.05962</v>
      </c>
      <c r="L23" s="11" t="n">
        <v>-1848004675.05962</v>
      </c>
      <c r="M23" s="12"/>
    </row>
    <row r="24" customFormat="false" ht="15" hidden="false" customHeight="false" outlineLevel="0" collapsed="false">
      <c r="A24" s="4" t="s">
        <v>70</v>
      </c>
      <c r="B24" s="11" t="n">
        <v>-2014435236.95971</v>
      </c>
      <c r="C24" s="11" t="n">
        <v>-1461523233.76303</v>
      </c>
      <c r="D24" s="11" t="n">
        <v>-1514930565.45518</v>
      </c>
      <c r="E24" s="11" t="n">
        <v>-1612421555.26674</v>
      </c>
      <c r="F24" s="11" t="n">
        <v>-1794731720.99956</v>
      </c>
      <c r="G24" s="11" t="n">
        <v>-1989532007.7247</v>
      </c>
      <c r="H24" s="11" t="n">
        <v>-2152696881.55608</v>
      </c>
      <c r="I24" s="11" t="n">
        <v>-2380147199.16622</v>
      </c>
      <c r="J24" s="11" t="n">
        <v>-2663144169.31689</v>
      </c>
      <c r="K24" s="11" t="n">
        <v>-3102772895.49971</v>
      </c>
      <c r="L24" s="11" t="n">
        <v>-3646418677.93563</v>
      </c>
      <c r="M24" s="12"/>
    </row>
    <row r="26" customFormat="false" ht="15" hidden="false" customHeight="false" outlineLevel="0" collapsed="false">
      <c r="A26" s="13" t="s">
        <v>71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customFormat="false" ht="15" hidden="false" customHeight="false" outlineLevel="0" collapsed="false">
      <c r="A27" s="4" t="s">
        <v>72</v>
      </c>
      <c r="B27" s="15" t="n">
        <f aca="false">IF(B24="",0,1)</f>
        <v>1</v>
      </c>
      <c r="C27" s="15" t="n">
        <f aca="false">IF(C24="",0,1)</f>
        <v>1</v>
      </c>
      <c r="D27" s="15" t="n">
        <f aca="false">IF(D24="",0,1)</f>
        <v>1</v>
      </c>
      <c r="E27" s="15" t="n">
        <f aca="false">IF(E24="",0,1)</f>
        <v>1</v>
      </c>
      <c r="F27" s="15" t="n">
        <f aca="false">IF(F24="",0,1)</f>
        <v>1</v>
      </c>
      <c r="G27" s="15" t="n">
        <f aca="false">IF(G24="",0,1)</f>
        <v>1</v>
      </c>
      <c r="H27" s="15" t="n">
        <f aca="false">IF(H24="",0,1)</f>
        <v>1</v>
      </c>
      <c r="I27" s="15" t="n">
        <f aca="false">IF(I24="",0,1)</f>
        <v>1</v>
      </c>
      <c r="J27" s="15" t="n">
        <f aca="false">IF(J24="",0,1)</f>
        <v>1</v>
      </c>
      <c r="K27" s="15" t="n">
        <f aca="false">IF(K24="",0,1)</f>
        <v>1</v>
      </c>
      <c r="L27" s="15" t="n">
        <f aca="false">IF(L24="",0,1)</f>
        <v>1</v>
      </c>
      <c r="M27" s="15" t="n">
        <f aca="false">IF(M24="",0,1)</f>
        <v>0</v>
      </c>
    </row>
    <row r="28" customFormat="false" ht="15" hidden="false" customHeight="false" outlineLevel="0" collapsed="false">
      <c r="A28" s="4" t="s">
        <v>73</v>
      </c>
      <c r="B28" s="16" t="n">
        <f aca="false">-(B20+B21)</f>
        <v>5928358999.93899</v>
      </c>
      <c r="C28" s="16" t="n">
        <f aca="false">-(C20+C21)</f>
        <v>5977640534.00019</v>
      </c>
      <c r="D28" s="16" t="n">
        <f aca="false">-(D20+D21)</f>
        <v>6018540448.40929</v>
      </c>
      <c r="E28" s="16" t="n">
        <f aca="false">-(E20+E21)</f>
        <v>4810465464.43719</v>
      </c>
      <c r="F28" s="16" t="n">
        <f aca="false">-(F20+F21)</f>
        <v>3609042509.40978</v>
      </c>
      <c r="G28" s="16" t="n">
        <f aca="false">-(G20+G21)</f>
        <v>2750565410.84887</v>
      </c>
      <c r="H28" s="16" t="n">
        <f aca="false">-(H20+H21)</f>
        <v>1891551137.50308</v>
      </c>
      <c r="I28" s="16" t="n">
        <f aca="false">-(I20+I21)</f>
        <v>1566933664.70734</v>
      </c>
      <c r="J28" s="16" t="n">
        <f aca="false">-(J20+J21)</f>
        <v>1221559576.0025</v>
      </c>
      <c r="K28" s="16" t="n">
        <f aca="false">-(K20+K21)</f>
        <v>853027880.21927</v>
      </c>
      <c r="L28" s="16" t="n">
        <f aca="false">-(L20+L21)</f>
        <v>461272849.35534</v>
      </c>
      <c r="M28" s="16" t="n">
        <f aca="false">-(M20+M21)</f>
        <v>2.76E-007</v>
      </c>
    </row>
    <row r="29" customFormat="false" ht="15" hidden="false" customHeight="false" outlineLevel="0" collapsed="false">
      <c r="A29" s="4" t="s">
        <v>74</v>
      </c>
      <c r="B29" s="16" t="n">
        <f aca="false">MAX(0,B28-C28)</f>
        <v>0</v>
      </c>
      <c r="C29" s="16" t="n">
        <f aca="false">MAX(0,C28-D28)</f>
        <v>0</v>
      </c>
      <c r="D29" s="16" t="n">
        <f aca="false">MAX(0,D28-E28)</f>
        <v>1208074983.9721</v>
      </c>
      <c r="E29" s="16" t="n">
        <f aca="false">MAX(0,E28-F28)</f>
        <v>1201422955.02741</v>
      </c>
      <c r="F29" s="16" t="n">
        <f aca="false">MAX(0,F28-G28)</f>
        <v>858477098.56091</v>
      </c>
      <c r="G29" s="16" t="n">
        <f aca="false">MAX(0,G28-H28)</f>
        <v>859014273.34579</v>
      </c>
      <c r="H29" s="16" t="n">
        <f aca="false">MAX(0,H28-I28)</f>
        <v>324617472.79574</v>
      </c>
      <c r="I29" s="16" t="n">
        <f aca="false">MAX(0,I28-J28)</f>
        <v>345374088.70484</v>
      </c>
      <c r="J29" s="16" t="n">
        <f aca="false">MAX(0,J28-K28)</f>
        <v>368531695.78323</v>
      </c>
      <c r="K29" s="16" t="n">
        <f aca="false">MAX(0,K28-L28)</f>
        <v>391755030.86393</v>
      </c>
      <c r="L29" s="16" t="n">
        <f aca="false">MAX(0,L28-M28)</f>
        <v>461272849.35534</v>
      </c>
      <c r="M29" s="16" t="n">
        <f aca="false">MAX(0,M28)</f>
        <v>2.76E-007</v>
      </c>
    </row>
    <row r="30" customFormat="false" ht="15" hidden="false" customHeight="false" outlineLevel="0" collapsed="false">
      <c r="A30" s="4" t="s">
        <v>75</v>
      </c>
      <c r="B30" s="16" t="n">
        <f aca="false">-B19+B20+B29</f>
        <v>801825698.660194</v>
      </c>
      <c r="C30" s="16" t="n">
        <f aca="false">-C19+C20+C29</f>
        <v>1029320798.28982</v>
      </c>
      <c r="D30" s="16" t="n">
        <f aca="false">-D19+D20+D29</f>
        <v>2600821919.70355</v>
      </c>
      <c r="E30" s="16" t="n">
        <f aca="false">-E19+E20+E29</f>
        <v>2538311776.25816</v>
      </c>
      <c r="F30" s="16" t="n">
        <f aca="false">-F19+F20+F29</f>
        <v>1635475936.82544</v>
      </c>
      <c r="G30" s="16" t="n">
        <f aca="false">-G19+G20+G29</f>
        <v>1756508858.95592</v>
      </c>
      <c r="H30" s="16" t="n">
        <f aca="false">-H19+H20+H29</f>
        <v>1606495091.42194</v>
      </c>
      <c r="I30" s="16" t="n">
        <f aca="false">-I19+I20+I29</f>
        <v>2095258352.76178</v>
      </c>
      <c r="J30" s="16" t="n">
        <f aca="false">-J19+J20+J29</f>
        <v>2057503276.12129</v>
      </c>
      <c r="K30" s="16" t="n">
        <f aca="false">-K19+K20+K29</f>
        <v>1366716668.42457</v>
      </c>
      <c r="L30" s="16" t="n">
        <f aca="false">-L19+L20+L29</f>
        <v>1312886114.86958</v>
      </c>
      <c r="M30" s="16" t="n">
        <f aca="false">-M19+M20+M29</f>
        <v>115139749.933741</v>
      </c>
    </row>
    <row r="31" customFormat="false" ht="15" hidden="false" customHeight="false" outlineLevel="0" collapsed="false">
      <c r="A31" s="4" t="s">
        <v>76</v>
      </c>
      <c r="B31" s="16" t="n">
        <f aca="false">B28-B29-B22-B23</f>
        <v>7814866139.61285</v>
      </c>
      <c r="C31" s="16" t="n">
        <f aca="false">C28-C29-C22-C23</f>
        <v>7864147673.67405</v>
      </c>
      <c r="D31" s="16" t="n">
        <f aca="false">D28-D29-D22-D23</f>
        <v>6696972604.11105</v>
      </c>
      <c r="E31" s="16" t="n">
        <f aca="false">E28-E29-E22-E23</f>
        <v>5495549649.08364</v>
      </c>
      <c r="F31" s="16" t="n">
        <f aca="false">F28-F29-F22-F23</f>
        <v>4637072550.52273</v>
      </c>
      <c r="G31" s="16" t="n">
        <f aca="false">G28-G29-G22-G23</f>
        <v>3778058277.17694</v>
      </c>
      <c r="H31" s="16" t="n">
        <f aca="false">H28-H29-H22-H23</f>
        <v>3453440804.3812</v>
      </c>
      <c r="I31" s="16" t="n">
        <f aca="false">I28-I29-I22-I23</f>
        <v>3108066715.67636</v>
      </c>
      <c r="J31" s="16" t="n">
        <f aca="false">J28-J29-J22-J23</f>
        <v>2739535019.89313</v>
      </c>
      <c r="K31" s="16" t="n">
        <f aca="false">K28-K29-K22-K23</f>
        <v>2347779989.0292</v>
      </c>
      <c r="L31" s="16" t="n">
        <f aca="false">L28-L29-L22-L23</f>
        <v>1886507139.67386</v>
      </c>
      <c r="M31" s="16" t="n">
        <f aca="false">M28-M29-M22-M23</f>
        <v>0</v>
      </c>
    </row>
    <row r="32" customFormat="false" ht="15" hidden="false" customHeight="false" outlineLevel="0" collapsed="false">
      <c r="A32" s="4" t="s">
        <v>77</v>
      </c>
      <c r="B32" s="16" t="n">
        <f aca="false">B30+B31</f>
        <v>8616691838.27304</v>
      </c>
      <c r="C32" s="16" t="n">
        <f aca="false">C30+C31</f>
        <v>8893468471.96387</v>
      </c>
      <c r="D32" s="16" t="n">
        <f aca="false">D30+D31</f>
        <v>9297794523.8146</v>
      </c>
      <c r="E32" s="16" t="n">
        <f aca="false">E30+E31</f>
        <v>8033861425.3418</v>
      </c>
      <c r="F32" s="16" t="n">
        <f aca="false">F30+F31</f>
        <v>6272548487.34817</v>
      </c>
      <c r="G32" s="16" t="n">
        <f aca="false">G30+G31</f>
        <v>5534567136.13286</v>
      </c>
      <c r="H32" s="16" t="n">
        <f aca="false">H30+H31</f>
        <v>5059935895.80314</v>
      </c>
      <c r="I32" s="16" t="n">
        <f aca="false">I30+I31</f>
        <v>5203325068.43814</v>
      </c>
      <c r="J32" s="16" t="n">
        <f aca="false">J30+J31</f>
        <v>4797038296.01442</v>
      </c>
      <c r="K32" s="16" t="n">
        <f aca="false">K30+K31</f>
        <v>3714496657.45377</v>
      </c>
      <c r="L32" s="16" t="n">
        <f aca="false">L30+L31</f>
        <v>3199393254.54344</v>
      </c>
      <c r="M32" s="16" t="n">
        <f aca="false">M30+M31</f>
        <v>115139749.933741</v>
      </c>
    </row>
    <row r="33" customFormat="false" ht="15" hidden="false" customHeight="false" outlineLevel="0" collapsed="false">
      <c r="A33" s="4" t="s">
        <v>78</v>
      </c>
      <c r="B33" s="16" t="n">
        <f aca="false">-B24</f>
        <v>2014435236.95971</v>
      </c>
      <c r="C33" s="16" t="n">
        <f aca="false">-C24</f>
        <v>1461523233.76303</v>
      </c>
      <c r="D33" s="16" t="n">
        <f aca="false">-D24</f>
        <v>1514930565.45518</v>
      </c>
      <c r="E33" s="16" t="n">
        <f aca="false">-E24</f>
        <v>1612421555.26674</v>
      </c>
      <c r="F33" s="16" t="n">
        <f aca="false">-F24</f>
        <v>1794731720.99956</v>
      </c>
      <c r="G33" s="16" t="n">
        <f aca="false">-G24</f>
        <v>1989532007.7247</v>
      </c>
      <c r="H33" s="16" t="n">
        <f aca="false">-H24</f>
        <v>2152696881.55608</v>
      </c>
      <c r="I33" s="16" t="n">
        <f aca="false">-I24</f>
        <v>2380147199.16622</v>
      </c>
      <c r="J33" s="16" t="n">
        <f aca="false">-J24</f>
        <v>2663144169.31689</v>
      </c>
      <c r="K33" s="16" t="n">
        <f aca="false">-K24</f>
        <v>3102772895.49971</v>
      </c>
      <c r="L33" s="16" t="n">
        <f aca="false">-L24</f>
        <v>3646418677.93563</v>
      </c>
      <c r="M33" s="16" t="n">
        <f aca="false">-M24</f>
        <v>-0</v>
      </c>
    </row>
    <row r="34" customFormat="false" ht="15" hidden="false" customHeight="false" outlineLevel="0" collapsed="false">
      <c r="A34" s="4" t="s">
        <v>79</v>
      </c>
      <c r="B34" s="16" t="n">
        <f aca="false">B33</f>
        <v>2014435236.95971</v>
      </c>
      <c r="C34" s="16" t="n">
        <f aca="false">B33</f>
        <v>2014435236.95971</v>
      </c>
      <c r="D34" s="16" t="n">
        <f aca="false">C33</f>
        <v>1461523233.76303</v>
      </c>
      <c r="E34" s="16" t="n">
        <f aca="false">D33</f>
        <v>1514930565.45518</v>
      </c>
      <c r="F34" s="16" t="n">
        <f aca="false">E33</f>
        <v>1612421555.26674</v>
      </c>
      <c r="G34" s="16" t="n">
        <f aca="false">F33</f>
        <v>1794731720.99956</v>
      </c>
      <c r="H34" s="16" t="n">
        <f aca="false">G33</f>
        <v>1989532007.7247</v>
      </c>
      <c r="I34" s="16" t="n">
        <f aca="false">H33</f>
        <v>2152696881.55608</v>
      </c>
      <c r="J34" s="16" t="n">
        <f aca="false">I33</f>
        <v>2380147199.16622</v>
      </c>
      <c r="K34" s="16" t="n">
        <f aca="false">J33</f>
        <v>2663144169.31689</v>
      </c>
      <c r="L34" s="16" t="n">
        <f aca="false">K33</f>
        <v>3102772895.49971</v>
      </c>
      <c r="M34" s="16" t="n">
        <f aca="false">L33</f>
        <v>3646418677.93563</v>
      </c>
    </row>
    <row r="35" customFormat="false" ht="15" hidden="false" customHeight="false" outlineLevel="0" collapsed="false">
      <c r="A35" s="4" t="s">
        <v>80</v>
      </c>
      <c r="B35" s="16" t="n">
        <f aca="false">B28</f>
        <v>5928358999.93899</v>
      </c>
      <c r="C35" s="16" t="n">
        <f aca="false">B28</f>
        <v>5928358999.93899</v>
      </c>
      <c r="D35" s="16" t="n">
        <f aca="false">C28</f>
        <v>5977640534.00019</v>
      </c>
      <c r="E35" s="16" t="n">
        <f aca="false">D28</f>
        <v>6018540448.40929</v>
      </c>
      <c r="F35" s="16" t="n">
        <f aca="false">E28</f>
        <v>4810465464.43719</v>
      </c>
      <c r="G35" s="16" t="n">
        <f aca="false">F28</f>
        <v>3609042509.40978</v>
      </c>
      <c r="H35" s="16" t="n">
        <f aca="false">G28</f>
        <v>2750565410.84887</v>
      </c>
      <c r="I35" s="16" t="n">
        <f aca="false">H28</f>
        <v>1891551137.50308</v>
      </c>
      <c r="J35" s="16" t="n">
        <f aca="false">I28</f>
        <v>1566933664.70734</v>
      </c>
      <c r="K35" s="16" t="n">
        <f aca="false">J28</f>
        <v>1221559576.0025</v>
      </c>
      <c r="L35" s="16" t="n">
        <f aca="false">K28</f>
        <v>853027880.21927</v>
      </c>
      <c r="M35" s="16" t="n">
        <f aca="false">L28</f>
        <v>461272849.35534</v>
      </c>
    </row>
    <row r="36" customFormat="false" ht="15" hidden="false" customHeight="false" outlineLevel="0" collapsed="false">
      <c r="A36" s="4" t="s">
        <v>81</v>
      </c>
      <c r="B36" s="16" t="n">
        <f aca="false">B34+B35</f>
        <v>7942794236.8987</v>
      </c>
      <c r="C36" s="16" t="n">
        <f aca="false">C34+C35</f>
        <v>7942794236.8987</v>
      </c>
      <c r="D36" s="16" t="n">
        <f aca="false">D34+D35</f>
        <v>7439163767.76322</v>
      </c>
      <c r="E36" s="16" t="n">
        <f aca="false">E34+E35</f>
        <v>7533471013.86447</v>
      </c>
      <c r="F36" s="16" t="n">
        <f aca="false">F34+F35</f>
        <v>6422887019.70393</v>
      </c>
      <c r="G36" s="16" t="n">
        <f aca="false">G34+G35</f>
        <v>5403774230.40934</v>
      </c>
      <c r="H36" s="16" t="n">
        <f aca="false">H34+H35</f>
        <v>4740097418.57357</v>
      </c>
      <c r="I36" s="16" t="n">
        <f aca="false">I34+I35</f>
        <v>4044248019.05916</v>
      </c>
      <c r="J36" s="16" t="n">
        <f aca="false">J34+J35</f>
        <v>3947080863.87356</v>
      </c>
      <c r="K36" s="16" t="n">
        <f aca="false">K34+K35</f>
        <v>3884703745.31939</v>
      </c>
      <c r="L36" s="16" t="n">
        <f aca="false">L34+L35</f>
        <v>3955800775.71898</v>
      </c>
      <c r="M36" s="16" t="n">
        <f aca="false">M34+M35</f>
        <v>4107691527.29097</v>
      </c>
    </row>
    <row r="37" customFormat="false" ht="15" hidden="false" customHeight="false" outlineLevel="0" collapsed="false">
      <c r="A37" s="4" t="s">
        <v>82</v>
      </c>
      <c r="B37" s="16" t="n">
        <f aca="false">B9+B10</f>
        <v>4325612987.19642</v>
      </c>
      <c r="C37" s="16" t="n">
        <f aca="false">C9+C10</f>
        <v>3592138665.93088</v>
      </c>
      <c r="D37" s="16" t="n">
        <f aca="false">D9+D10</f>
        <v>3757151628.05258</v>
      </c>
      <c r="E37" s="16" t="n">
        <f aca="false">E9+E10</f>
        <v>3944899351.50071</v>
      </c>
      <c r="F37" s="16" t="n">
        <f aca="false">F9+F10</f>
        <v>4344108187.39393</v>
      </c>
      <c r="G37" s="16" t="n">
        <f aca="false">G9+G10</f>
        <v>4704389276.79009</v>
      </c>
      <c r="H37" s="16" t="n">
        <f aca="false">H9+H10</f>
        <v>4962063621.90316</v>
      </c>
      <c r="I37" s="16" t="n">
        <f aca="false">I9+I10</f>
        <v>5353986752.62299</v>
      </c>
      <c r="J37" s="16" t="n">
        <f aca="false">J9+J10</f>
        <v>5735333228.59047</v>
      </c>
      <c r="K37" s="16" t="n">
        <f aca="false">K9+K10</f>
        <v>6372347806.61203</v>
      </c>
      <c r="L37" s="16" t="n">
        <f aca="false">L9+L10</f>
        <v>7119466473.03168</v>
      </c>
      <c r="M37" s="16" t="n">
        <f aca="false">M9+M10</f>
        <v>10484968757.8099</v>
      </c>
    </row>
    <row r="38" customFormat="false" ht="15" hidden="false" customHeight="false" outlineLevel="0" collapsed="false">
      <c r="A38" s="4" t="s">
        <v>83</v>
      </c>
      <c r="B38" s="17" t="n">
        <f aca="false">(B5+B6)/Premissas!$B$16</f>
        <v>5209387.58371357</v>
      </c>
      <c r="C38" s="17" t="n">
        <f aca="false">(C5+C6)/Premissas!$B$16</f>
        <v>4675931.93649175</v>
      </c>
      <c r="D38" s="17" t="n">
        <f aca="false">(D5+D6)/Premissas!$B$16</f>
        <v>4767984.11000733</v>
      </c>
      <c r="E38" s="17" t="n">
        <f aca="false">(E5+E6)/Premissas!$B$16</f>
        <v>4957641.88405903</v>
      </c>
      <c r="F38" s="17" t="n">
        <f aca="false">(F5+F6)/Premissas!$B$16</f>
        <v>5212887.99544079</v>
      </c>
      <c r="G38" s="17" t="n">
        <f aca="false">(G5+G6)/Premissas!$B$16</f>
        <v>5537265.91753419</v>
      </c>
      <c r="H38" s="17" t="n">
        <f aca="false">(H5+H6)/Premissas!$B$16</f>
        <v>5877647.61317671</v>
      </c>
      <c r="I38" s="17" t="n">
        <f aca="false">(I5+I6)/Premissas!$B$16</f>
        <v>6280000.48147909</v>
      </c>
      <c r="J38" s="17" t="n">
        <f aca="false">(J5+J6)/Premissas!$B$16</f>
        <v>6666856.67526425</v>
      </c>
      <c r="K38" s="17" t="n">
        <f aca="false">(K5+K6)/Premissas!$B$16</f>
        <v>7107550.5564277</v>
      </c>
      <c r="L38" s="17" t="n">
        <f aca="false">(L5+L6)/Premissas!$B$16</f>
        <v>7560519.39791143</v>
      </c>
      <c r="M38" s="17" t="n">
        <f aca="false">(M5+M6)/Premissas!$B$16</f>
        <v>9304809.92331392</v>
      </c>
    </row>
    <row r="39" customFormat="false" ht="15" hidden="false" customHeight="false" outlineLevel="0" collapsed="false">
      <c r="A39" s="4" t="s">
        <v>84</v>
      </c>
      <c r="B39" s="17" t="n">
        <f aca="false">Premissas!$B$17*B38</f>
        <v>781408.137557036</v>
      </c>
      <c r="C39" s="17" t="n">
        <f aca="false">C38-B38+Premissas!$B$17*B38</f>
        <v>247952.490335216</v>
      </c>
      <c r="D39" s="17" t="n">
        <f aca="false">D38-C38+Premissas!$B$17*C38</f>
        <v>793441.963989339</v>
      </c>
      <c r="E39" s="17" t="n">
        <f aca="false">E38-D38+Premissas!$B$17*D38</f>
        <v>904855.390552805</v>
      </c>
      <c r="F39" s="17" t="n">
        <f aca="false">F38-E38+Premissas!$B$17*E38</f>
        <v>998892.393990608</v>
      </c>
      <c r="G39" s="17" t="n">
        <f aca="false">G38-F38+Premissas!$B$17*F38</f>
        <v>1106311.12140952</v>
      </c>
      <c r="H39" s="17" t="n">
        <f aca="false">H38-G38+Premissas!$B$17*G38</f>
        <v>1170971.58327266</v>
      </c>
      <c r="I39" s="17" t="n">
        <f aca="false">I38-H38+Premissas!$B$17*H38</f>
        <v>1284000.01027888</v>
      </c>
      <c r="J39" s="17" t="n">
        <f aca="false">J38-I38+Premissas!$B$17*I38</f>
        <v>1328856.26600703</v>
      </c>
      <c r="K39" s="17" t="n">
        <f aca="false">K38-J38+Premissas!$B$17*J38</f>
        <v>1440722.38245309</v>
      </c>
      <c r="L39" s="17" t="n">
        <f aca="false">L38-K38+Premissas!$B$17*K38</f>
        <v>1519101.42494788</v>
      </c>
      <c r="M39" s="17" t="n">
        <f aca="false">M38-L38+Premissas!$B$17*L38</f>
        <v>2878368.4350892</v>
      </c>
    </row>
    <row r="41" customFormat="false" ht="15" hidden="false" customHeight="false" outlineLevel="0" collapsed="false">
      <c r="A41" s="1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14" min="3" style="0" width="15"/>
    <col collapsed="false" customWidth="true" hidden="false" outlineLevel="0" max="15" min="15" style="0" width="11"/>
  </cols>
  <sheetData>
    <row r="1" customFormat="false" ht="16.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10" t="s">
        <v>87</v>
      </c>
    </row>
    <row r="4" customFormat="false" ht="15" hidden="false" customHeight="false" outlineLevel="0" collapsed="false">
      <c r="A4" s="3" t="s">
        <v>88</v>
      </c>
      <c r="B4" s="3" t="s">
        <v>89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7</v>
      </c>
    </row>
    <row r="5" customFormat="false" ht="15" hidden="false" customHeight="false" outlineLevel="0" collapsed="false">
      <c r="A5" s="13" t="s">
        <v>90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customFormat="false" ht="15" hidden="false" customHeight="false" outlineLevel="0" collapsed="false">
      <c r="A6" s="4" t="s">
        <v>91</v>
      </c>
      <c r="B6" s="4" t="s">
        <v>92</v>
      </c>
      <c r="C6" s="18" t="n">
        <f aca="false">Dados!B5</f>
        <v>6722729306.39378</v>
      </c>
      <c r="D6" s="18" t="n">
        <f aca="false">Dados!C5</f>
        <v>6114937124.26453</v>
      </c>
      <c r="E6" s="18" t="n">
        <f aca="false">Dados!D5</f>
        <v>6251283407.10515</v>
      </c>
      <c r="F6" s="18" t="n">
        <f aca="false">Dados!E5</f>
        <v>6506532056.98804</v>
      </c>
      <c r="G6" s="18" t="n">
        <f aca="false">Dados!F5</f>
        <v>6844711176.35969</v>
      </c>
      <c r="H6" s="18" t="n">
        <f aca="false">Dados!G5</f>
        <v>7270773000.43272</v>
      </c>
      <c r="I6" s="18" t="n">
        <f aca="false">Dados!H5</f>
        <v>7720095941.31161</v>
      </c>
      <c r="J6" s="18" t="n">
        <f aca="false">Dados!I5</f>
        <v>8248988345.01317</v>
      </c>
      <c r="K6" s="18" t="n">
        <f aca="false">Dados!J5</f>
        <v>8756415620.76972</v>
      </c>
      <c r="L6" s="18" t="n">
        <f aca="false">Dados!K5</f>
        <v>9334635921.08705</v>
      </c>
      <c r="M6" s="18" t="n">
        <f aca="false">Dados!L5</f>
        <v>9930604301.88649</v>
      </c>
      <c r="N6" s="18" t="n">
        <f aca="false">Dados!M5</f>
        <v>12222538183.3716</v>
      </c>
      <c r="O6" s="4" t="s">
        <v>93</v>
      </c>
    </row>
    <row r="7" customFormat="false" ht="15" hidden="false" customHeight="false" outlineLevel="0" collapsed="false">
      <c r="A7" s="4" t="s">
        <v>94</v>
      </c>
      <c r="B7" s="4" t="s">
        <v>95</v>
      </c>
      <c r="C7" s="18" t="n">
        <f aca="false">Dados!B5+Dados!B6</f>
        <v>6251265100.45628</v>
      </c>
      <c r="D7" s="18" t="n">
        <f aca="false">Dados!C5+Dados!C6</f>
        <v>5611118323.7901</v>
      </c>
      <c r="E7" s="18" t="n">
        <f aca="false">Dados!D5+Dados!D6</f>
        <v>5721580932.00879</v>
      </c>
      <c r="F7" s="18" t="n">
        <f aca="false">Dados!E5+Dados!E6</f>
        <v>5949170260.87084</v>
      </c>
      <c r="G7" s="18" t="n">
        <f aca="false">Dados!F5+Dados!F6</f>
        <v>6255465594.52894</v>
      </c>
      <c r="H7" s="18" t="n">
        <f aca="false">Dados!G5+Dados!G6</f>
        <v>6644719101.04102</v>
      </c>
      <c r="I7" s="18" t="n">
        <f aca="false">Dados!H5+Dados!H6</f>
        <v>7053177135.81206</v>
      </c>
      <c r="J7" s="18" t="n">
        <f aca="false">Dados!I5+Dados!I6</f>
        <v>7536000577.77491</v>
      </c>
      <c r="K7" s="18" t="n">
        <f aca="false">Dados!J5+Dados!J6</f>
        <v>8000228010.3171</v>
      </c>
      <c r="L7" s="18" t="n">
        <f aca="false">Dados!K5+Dados!K6</f>
        <v>8529060667.71325</v>
      </c>
      <c r="M7" s="18" t="n">
        <f aca="false">Dados!L5+Dados!L6</f>
        <v>9072623277.49371</v>
      </c>
      <c r="N7" s="18" t="n">
        <f aca="false">Dados!M5+Dados!M6</f>
        <v>11165771907.9767</v>
      </c>
      <c r="O7" s="4" t="s">
        <v>93</v>
      </c>
    </row>
    <row r="8" customFormat="false" ht="15" hidden="false" customHeight="false" outlineLevel="0" collapsed="false">
      <c r="A8" s="4" t="s">
        <v>96</v>
      </c>
      <c r="B8" s="4" t="s">
        <v>97</v>
      </c>
      <c r="C8" s="18" t="n">
        <f aca="false">-Dados!B7</f>
        <v>1361164977.97289</v>
      </c>
      <c r="D8" s="18" t="n">
        <f aca="false">-Dados!C7</f>
        <v>1333291234.71079</v>
      </c>
      <c r="E8" s="18" t="n">
        <f aca="false">-Dados!D7</f>
        <v>1232952687.66395</v>
      </c>
      <c r="F8" s="18" t="n">
        <f aca="false">-Dados!E7</f>
        <v>1236163367.29018</v>
      </c>
      <c r="G8" s="18" t="n">
        <f aca="false">-Dados!F7</f>
        <v>1127880696.546</v>
      </c>
      <c r="H8" s="18" t="n">
        <f aca="false">-Dados!G7</f>
        <v>1140221929.44043</v>
      </c>
      <c r="I8" s="18" t="n">
        <f aca="false">-Dados!H7</f>
        <v>1269191986.58661</v>
      </c>
      <c r="J8" s="18" t="n">
        <f aca="false">-Dados!I7</f>
        <v>1342629109.83207</v>
      </c>
      <c r="K8" s="18" t="n">
        <f aca="false">-Dados!J7</f>
        <v>1412146278.23768</v>
      </c>
      <c r="L8" s="18" t="n">
        <f aca="false">-Dados!K7</f>
        <v>1277249272.09179</v>
      </c>
      <c r="M8" s="18" t="n">
        <f aca="false">-Dados!L7</f>
        <v>1051992505.92302</v>
      </c>
      <c r="N8" s="18" t="n">
        <f aca="false">-Dados!M7</f>
        <v>1094296472.7523</v>
      </c>
      <c r="O8" s="4" t="s">
        <v>93</v>
      </c>
    </row>
    <row r="9" customFormat="false" ht="15" hidden="false" customHeight="false" outlineLevel="0" collapsed="false">
      <c r="A9" s="4" t="s">
        <v>98</v>
      </c>
      <c r="B9" s="4" t="s">
        <v>99</v>
      </c>
      <c r="C9" s="18" t="n">
        <f aca="false">C8*Premissas!$B$8</f>
        <v>408349493.391867</v>
      </c>
      <c r="D9" s="18" t="n">
        <f aca="false">D8*Premissas!$B$8</f>
        <v>399987370.413237</v>
      </c>
      <c r="E9" s="18" t="n">
        <f aca="false">E8*Premissas!$B$8</f>
        <v>369885806.299185</v>
      </c>
      <c r="F9" s="18" t="n">
        <f aca="false">F8*Premissas!$B$8</f>
        <v>370849010.187054</v>
      </c>
      <c r="G9" s="18" t="n">
        <f aca="false">G8*Premissas!$B$8</f>
        <v>338364208.9638</v>
      </c>
      <c r="H9" s="18" t="n">
        <f aca="false">H8*Premissas!$B$8</f>
        <v>342066578.832129</v>
      </c>
      <c r="I9" s="18" t="n">
        <f aca="false">I8*Premissas!$B$8</f>
        <v>380757595.975983</v>
      </c>
      <c r="J9" s="18" t="n">
        <f aca="false">J8*Premissas!$B$8</f>
        <v>402788732.949621</v>
      </c>
      <c r="K9" s="18" t="n">
        <f aca="false">K8*Premissas!$B$8</f>
        <v>423643883.471304</v>
      </c>
      <c r="L9" s="18" t="n">
        <f aca="false">L8*Premissas!$B$8</f>
        <v>383174781.627537</v>
      </c>
      <c r="M9" s="18" t="n">
        <f aca="false">M8*Premissas!$B$8</f>
        <v>315597751.776906</v>
      </c>
      <c r="N9" s="18" t="n">
        <f aca="false">N8*Premissas!$B$8</f>
        <v>328288941.82569</v>
      </c>
      <c r="O9" s="4" t="s">
        <v>93</v>
      </c>
    </row>
    <row r="10" customFormat="false" ht="15" hidden="false" customHeight="false" outlineLevel="0" collapsed="false">
      <c r="A10" s="4" t="s">
        <v>100</v>
      </c>
      <c r="B10" s="4" t="s">
        <v>101</v>
      </c>
      <c r="C10" s="18" t="n">
        <f aca="false">C7-C9</f>
        <v>5842915607.06442</v>
      </c>
      <c r="D10" s="18" t="n">
        <f aca="false">D7-D9</f>
        <v>5211130953.37686</v>
      </c>
      <c r="E10" s="18" t="n">
        <f aca="false">E7-E9</f>
        <v>5351695125.70961</v>
      </c>
      <c r="F10" s="18" t="n">
        <f aca="false">F7-F9</f>
        <v>5578321250.68379</v>
      </c>
      <c r="G10" s="18" t="n">
        <f aca="false">G7-G9</f>
        <v>5917101385.56514</v>
      </c>
      <c r="H10" s="18" t="n">
        <f aca="false">H7-H9</f>
        <v>6302652522.20889</v>
      </c>
      <c r="I10" s="18" t="n">
        <f aca="false">I7-I9</f>
        <v>6672419539.83607</v>
      </c>
      <c r="J10" s="18" t="n">
        <f aca="false">J7-J9</f>
        <v>7133211844.82529</v>
      </c>
      <c r="K10" s="18" t="n">
        <f aca="false">K7-K9</f>
        <v>7576584126.8458</v>
      </c>
      <c r="L10" s="18" t="n">
        <f aca="false">L7-L9</f>
        <v>8145885886.08571</v>
      </c>
      <c r="M10" s="18" t="n">
        <f aca="false">M7-M9</f>
        <v>8757025525.71681</v>
      </c>
      <c r="N10" s="18" t="n">
        <f aca="false">N7-N9</f>
        <v>10837482966.151</v>
      </c>
      <c r="O10" s="4" t="s">
        <v>93</v>
      </c>
    </row>
    <row r="11" customFormat="false" ht="15" hidden="false" customHeight="false" outlineLevel="0" collapsed="false">
      <c r="A11" s="4" t="s">
        <v>102</v>
      </c>
      <c r="B11" s="4" t="s">
        <v>103</v>
      </c>
      <c r="C11" s="19" t="n">
        <f aca="false">IF(C7=0,"n/a",C10/C7)</f>
        <v>0.934677303421021</v>
      </c>
      <c r="D11" s="19" t="n">
        <f aca="false">IF(D7=0,"n/a",D10/D7)</f>
        <v>0.928715213736028</v>
      </c>
      <c r="E11" s="19" t="n">
        <f aca="false">IF(E7=0,"n/a",E10/E7)</f>
        <v>0.935352516953855</v>
      </c>
      <c r="F11" s="19" t="n">
        <f aca="false">IF(F7=0,"n/a",F10/F7)</f>
        <v>0.937663742349716</v>
      </c>
      <c r="G11" s="19" t="n">
        <f aca="false">IF(G7=0,"n/a",G10/G7)</f>
        <v>0.945909028856344</v>
      </c>
      <c r="H11" s="19" t="n">
        <f aca="false">IF(H7=0,"n/a",H10/H7)</f>
        <v>0.948520535837469</v>
      </c>
      <c r="I11" s="19" t="n">
        <f aca="false">IF(I7=0,"n/a",I10/I7)</f>
        <v>0.946016158584376</v>
      </c>
      <c r="J11" s="19" t="n">
        <f aca="false">IF(J7=0,"n/a",J10/J7)</f>
        <v>0.946551393037638</v>
      </c>
      <c r="K11" s="19" t="n">
        <f aca="false">IF(K7=0,"n/a",K10/K7)</f>
        <v>0.9470460238227</v>
      </c>
      <c r="L11" s="19" t="n">
        <f aca="false">IF(L7=0,"n/a",L10/L7)</f>
        <v>0.955074210800488</v>
      </c>
      <c r="M11" s="19" t="n">
        <f aca="false">IF(M7=0,"n/a",M10/M7)</f>
        <v>0.965214277929978</v>
      </c>
      <c r="N11" s="19" t="n">
        <f aca="false">IF(N7=0,"n/a",N10/N7)</f>
        <v>0.970598634422116</v>
      </c>
      <c r="O11" s="4" t="s">
        <v>10</v>
      </c>
    </row>
    <row r="12" customFormat="false" ht="15" hidden="false" customHeight="false" outlineLevel="0" collapsed="false">
      <c r="A12" s="4" t="s">
        <v>104</v>
      </c>
      <c r="B12" s="4" t="s">
        <v>105</v>
      </c>
      <c r="C12" s="18" t="n">
        <f aca="false">Dados!B37-Dados!B8</f>
        <v>4929184523.02696</v>
      </c>
      <c r="D12" s="18" t="n">
        <f aca="false">Dados!C37-Dados!C8</f>
        <v>4320407124.49807</v>
      </c>
      <c r="E12" s="18" t="n">
        <f aca="false">Dados!D37-Dados!D8</f>
        <v>4535892646.57061</v>
      </c>
      <c r="F12" s="18" t="n">
        <f aca="false">Dados!E37-Dados!E8</f>
        <v>4758859185.82473</v>
      </c>
      <c r="G12" s="18" t="n">
        <f aca="false">Dados!F37-Dados!F8</f>
        <v>5173464825.07562</v>
      </c>
      <c r="H12" s="18" t="n">
        <f aca="false">Dados!G37-Dados!G8</f>
        <v>5551776751.67927</v>
      </c>
      <c r="I12" s="18" t="n">
        <f aca="false">Dados!H37-Dados!H8</f>
        <v>5832617827.48454</v>
      </c>
      <c r="J12" s="18" t="n">
        <f aca="false">Dados!I37-Dados!I8</f>
        <v>6243466850.1016</v>
      </c>
      <c r="K12" s="18" t="n">
        <f aca="false">Dados!J37-Dados!J8</f>
        <v>6639753018.67415</v>
      </c>
      <c r="L12" s="18" t="n">
        <f aca="false">Dados!K37-Dados!K8</f>
        <v>7305014801.50247</v>
      </c>
      <c r="M12" s="18" t="n">
        <f aca="false">Dados!L37-Dados!L8</f>
        <v>8075401070.53981</v>
      </c>
      <c r="N12" s="18" t="n">
        <f aca="false">Dados!M37-Dados!M8</f>
        <v>11545134307.616</v>
      </c>
      <c r="O12" s="4" t="s">
        <v>93</v>
      </c>
    </row>
    <row r="13" customFormat="false" ht="15" hidden="false" customHeight="false" outlineLevel="0" collapsed="false">
      <c r="A13" s="4" t="s">
        <v>106</v>
      </c>
      <c r="B13" s="4" t="s">
        <v>107</v>
      </c>
      <c r="C13" s="19" t="n">
        <f aca="false">IF(C7=0,"n/a",C12/C7)</f>
        <v>0.788509916603469</v>
      </c>
      <c r="D13" s="19" t="n">
        <f aca="false">IF(D7=0,"n/a",D12/D7)</f>
        <v>0.769972557196013</v>
      </c>
      <c r="E13" s="19" t="n">
        <f aca="false">IF(E7=0,"n/a",E12/E7)</f>
        <v>0.79276911407388</v>
      </c>
      <c r="F13" s="19" t="n">
        <f aca="false">IF(F7=0,"n/a",F12/F7)</f>
        <v>0.79991981690706</v>
      </c>
      <c r="G13" s="19" t="n">
        <f aca="false">IF(G7=0,"n/a",G12/G7)</f>
        <v>0.8270311373146</v>
      </c>
      <c r="H13" s="19" t="n">
        <f aca="false">IF(H7=0,"n/a",H12/H7)</f>
        <v>0.835517147867016</v>
      </c>
      <c r="I13" s="19" t="n">
        <f aca="false">IF(I7=0,"n/a",I12/I7)</f>
        <v>0.826949006834068</v>
      </c>
      <c r="J13" s="19" t="n">
        <f aca="false">IF(J7=0,"n/a",J12/J7)</f>
        <v>0.828485452683585</v>
      </c>
      <c r="K13" s="19" t="n">
        <f aca="false">IF(K7=0,"n/a",K12/K7)</f>
        <v>0.829945472817965</v>
      </c>
      <c r="L13" s="19" t="n">
        <f aca="false">IF(L7=0,"n/a",L12/L7)</f>
        <v>0.856485266795627</v>
      </c>
      <c r="M13" s="19" t="n">
        <f aca="false">IF(M7=0,"n/a",M12/M7)</f>
        <v>0.890084468796617</v>
      </c>
      <c r="N13" s="19" t="n">
        <f aca="false">IF(N7=0,"n/a",N12/N7)</f>
        <v>1.03397547458123</v>
      </c>
      <c r="O13" s="4" t="s">
        <v>10</v>
      </c>
    </row>
    <row r="14" customFormat="false" ht="15" hidden="false" customHeight="false" outlineLevel="0" collapsed="false">
      <c r="A14" s="4" t="s">
        <v>108</v>
      </c>
      <c r="B14" s="4" t="s">
        <v>109</v>
      </c>
      <c r="C14" s="18" t="n">
        <f aca="false">Dados!B12</f>
        <v>2443242968.32408</v>
      </c>
      <c r="D14" s="18" t="n">
        <f aca="false">Dados!C12</f>
        <v>2000833838.1908</v>
      </c>
      <c r="E14" s="18" t="n">
        <f aca="false">Dados!D12</f>
        <v>2123145509.60886</v>
      </c>
      <c r="F14" s="18" t="n">
        <f aca="false">Dados!E12</f>
        <v>2318127489.23197</v>
      </c>
      <c r="G14" s="18" t="n">
        <f aca="false">Dados!F12</f>
        <v>2642606482.79264</v>
      </c>
      <c r="H14" s="18" t="n">
        <f aca="false">Dados!G12</f>
        <v>2955369242.56613</v>
      </c>
      <c r="I14" s="18" t="n">
        <f aca="false">Dados!H12</f>
        <v>3153307023.47259</v>
      </c>
      <c r="J14" s="18" t="n">
        <f aca="false">Dados!I12</f>
        <v>3428036570.71787</v>
      </c>
      <c r="K14" s="18" t="n">
        <f aca="false">Dados!J12</f>
        <v>3734759682.21362</v>
      </c>
      <c r="L14" s="18" t="n">
        <f aca="false">Dados!K12</f>
        <v>4238240524.87838</v>
      </c>
      <c r="M14" s="18" t="n">
        <f aca="false">Dados!L12</f>
        <v>4800115709.59858</v>
      </c>
      <c r="N14" s="18" t="n">
        <f aca="false">Dados!M12</f>
        <v>7093819432.34778</v>
      </c>
      <c r="O14" s="4" t="s">
        <v>93</v>
      </c>
    </row>
    <row r="15" customFormat="false" ht="15" hidden="false" customHeight="false" outlineLevel="0" collapsed="false">
      <c r="A15" s="4" t="s">
        <v>110</v>
      </c>
      <c r="B15" s="4" t="s">
        <v>111</v>
      </c>
      <c r="C15" s="19" t="n">
        <f aca="false">IF(C7=0,"n/a",C14/C7)</f>
        <v>0.390839762681916</v>
      </c>
      <c r="D15" s="19" t="n">
        <f aca="false">IF(D7=0,"n/a",D14/D7)</f>
        <v>0.356583790027673</v>
      </c>
      <c r="E15" s="19" t="n">
        <f aca="false">IF(E7=0,"n/a",E14/E7)</f>
        <v>0.371076724219899</v>
      </c>
      <c r="F15" s="19" t="n">
        <f aca="false">IF(F7=0,"n/a",F14/F7)</f>
        <v>0.389655596929015</v>
      </c>
      <c r="G15" s="19" t="n">
        <f aca="false">IF(G7=0,"n/a",G14/G7)</f>
        <v>0.422447608872452</v>
      </c>
      <c r="H15" s="19" t="n">
        <f aca="false">IF(H7=0,"n/a",H14/H7)</f>
        <v>0.44476962797466</v>
      </c>
      <c r="I15" s="19" t="n">
        <f aca="false">IF(I7=0,"n/a",I14/I7)</f>
        <v>0.447076113750479</v>
      </c>
      <c r="J15" s="19" t="n">
        <f aca="false">IF(J7=0,"n/a",J14/J7)</f>
        <v>0.454888045102836</v>
      </c>
      <c r="K15" s="19" t="n">
        <f aca="false">IF(K7=0,"n/a",K14/K7)</f>
        <v>0.466831654972492</v>
      </c>
      <c r="L15" s="19" t="n">
        <f aca="false">IF(L7=0,"n/a",L14/L7)</f>
        <v>0.496917619653268</v>
      </c>
      <c r="M15" s="19" t="n">
        <f aca="false">IF(M7=0,"n/a",M14/M7)</f>
        <v>0.529076934287147</v>
      </c>
      <c r="N15" s="19" t="n">
        <f aca="false">IF(N7=0,"n/a",N14/N7)</f>
        <v>0.635318318412007</v>
      </c>
      <c r="O15" s="4" t="s">
        <v>10</v>
      </c>
    </row>
    <row r="16" customFormat="false" ht="15" hidden="false" customHeight="false" outlineLevel="0" collapsed="false">
      <c r="A16" s="13" t="s">
        <v>112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customFormat="false" ht="15" hidden="false" customHeight="false" outlineLevel="0" collapsed="false">
      <c r="A17" s="4" t="s">
        <v>113</v>
      </c>
      <c r="B17" s="4" t="s">
        <v>114</v>
      </c>
      <c r="C17" s="20" t="n">
        <f aca="false">IF(Dados!B27=1,Dados!B15/Dados!B30,"n/a")</f>
        <v>2.23954018332902</v>
      </c>
      <c r="D17" s="20" t="n">
        <f aca="false">IF(Dados!C27=1,Dados!C15/Dados!C30,"n/a")</f>
        <v>1.52331375248394</v>
      </c>
      <c r="E17" s="20" t="n">
        <f aca="false">IF(Dados!D27=1,Dados!D15/Dados!D30,"n/a")</f>
        <v>0.881484402472666</v>
      </c>
      <c r="F17" s="20" t="n">
        <f aca="false">IF(Dados!E27=1,Dados!E15/Dados!E30,"n/a")</f>
        <v>0.652282710528947</v>
      </c>
      <c r="G17" s="20" t="n">
        <f aca="false">IF(Dados!F27=1,Dados!F15/Dados!F30,"n/a")</f>
        <v>0.513231998391999</v>
      </c>
      <c r="H17" s="20" t="n">
        <f aca="false">IF(Dados!G27=1,Dados!G15/Dados!G30,"n/a")</f>
        <v>0.450193300327875</v>
      </c>
      <c r="I17" s="20" t="n">
        <f aca="false">IF(Dados!H27=1,Dados!H15/Dados!H30,"n/a")</f>
        <v>0.585585434073428</v>
      </c>
      <c r="J17" s="20" t="n">
        <f aca="false">IF(Dados!I27=1,Dados!I15/Dados!I30,"n/a")</f>
        <v>0.849250278055619</v>
      </c>
      <c r="K17" s="20" t="n">
        <f aca="false">IF(Dados!J27=1,Dados!J15/Dados!J30,"n/a")</f>
        <v>1.07345927597197</v>
      </c>
      <c r="L17" s="20" t="n">
        <f aca="false">IF(Dados!K27=1,Dados!K15/Dados!K30,"n/a")</f>
        <v>1.80115745088056</v>
      </c>
      <c r="M17" s="20" t="n">
        <f aca="false">IF(Dados!L27=1,Dados!L15/Dados!L30,"n/a")</f>
        <v>2.44468304118017</v>
      </c>
      <c r="N17" s="20" t="str">
        <f aca="false">IF(Dados!M27=1,Dados!M15/Dados!M30,"n/a")</f>
        <v>n/a</v>
      </c>
      <c r="O17" s="4" t="s">
        <v>115</v>
      </c>
    </row>
    <row r="18" customFormat="false" ht="15" hidden="false" customHeight="false" outlineLevel="0" collapsed="false">
      <c r="A18" s="4" t="s">
        <v>116</v>
      </c>
      <c r="B18" s="4" t="s">
        <v>117</v>
      </c>
      <c r="C18" s="20" t="n">
        <f aca="false">IF(Dados!B27=1,(Dados!B15-Dados!B14)/Dados!B30,"n/a")</f>
        <v>2.23943215387964</v>
      </c>
      <c r="D18" s="20" t="n">
        <f aca="false">IF(Dados!C27=1,(Dados!C15-Dados!C14)/Dados!C30,"n/a")</f>
        <v>1.52322959913848</v>
      </c>
      <c r="E18" s="20" t="n">
        <f aca="false">IF(Dados!D27=1,(Dados!D15-Dados!D14)/Dados!D30,"n/a")</f>
        <v>0.881451097313222</v>
      </c>
      <c r="F18" s="20" t="n">
        <f aca="false">IF(Dados!E27=1,(Dados!E15-Dados!E14)/Dados!E30,"n/a")</f>
        <v>0.652248585174635</v>
      </c>
      <c r="G18" s="20" t="n">
        <f aca="false">IF(Dados!F27=1,(Dados!F15-Dados!F14)/Dados!F30,"n/a")</f>
        <v>0.513179034733672</v>
      </c>
      <c r="H18" s="20" t="n">
        <f aca="false">IF(Dados!G27=1,(Dados!G15-Dados!G14)/Dados!G30,"n/a")</f>
        <v>0.450143986150904</v>
      </c>
      <c r="I18" s="20" t="n">
        <f aca="false">IF(Dados!H27=1,(Dados!H15-Dados!H14)/Dados!H30,"n/a")</f>
        <v>0.585531514961453</v>
      </c>
      <c r="J18" s="20" t="n">
        <f aca="false">IF(Dados!I27=1,(Dados!I15-Dados!I14)/Dados!I30,"n/a")</f>
        <v>0.84920893671525</v>
      </c>
      <c r="K18" s="20" t="n">
        <f aca="false">IF(Dados!J27=1,(Dados!J15-Dados!J14)/Dados!J30,"n/a")</f>
        <v>1.07341717602019</v>
      </c>
      <c r="L18" s="20" t="n">
        <f aca="false">IF(Dados!K27=1,(Dados!K15-Dados!K14)/Dados!K30,"n/a")</f>
        <v>1.80109407213446</v>
      </c>
      <c r="M18" s="20" t="n">
        <f aca="false">IF(Dados!L27=1,(Dados!L15-Dados!L14)/Dados!L30,"n/a")</f>
        <v>2.44461706379817</v>
      </c>
      <c r="N18" s="20" t="str">
        <f aca="false">IF(Dados!M27=1,(Dados!M15-Dados!M14)/Dados!M30,"n/a")</f>
        <v>n/a</v>
      </c>
      <c r="O18" s="4" t="s">
        <v>115</v>
      </c>
    </row>
    <row r="19" customFormat="false" ht="15" hidden="false" customHeight="false" outlineLevel="0" collapsed="false">
      <c r="A19" s="4" t="s">
        <v>118</v>
      </c>
      <c r="B19" s="4" t="s">
        <v>119</v>
      </c>
      <c r="C19" s="20" t="n">
        <f aca="false">IF(Dados!B27=1,Dados!B13/Dados!B30,"n/a")</f>
        <v>1.5031508313242</v>
      </c>
      <c r="D19" s="20" t="n">
        <f aca="false">IF(Dados!C27=1,Dados!C13/Dados!C30,"n/a")</f>
        <v>0.993303007652896</v>
      </c>
      <c r="E19" s="20" t="n">
        <f aca="false">IF(Dados!D27=1,Dados!D13/Dados!D30,"n/a")</f>
        <v>0.67225711446456</v>
      </c>
      <c r="F19" s="20" t="n">
        <f aca="false">IF(Dados!E27=1,Dados!E13/Dados!E30,"n/a")</f>
        <v>0.440210029823131</v>
      </c>
      <c r="G19" s="20" t="n">
        <f aca="false">IF(Dados!F27=1,Dados!F13/Dados!F30,"n/a")</f>
        <v>0.187949186583801</v>
      </c>
      <c r="H19" s="20" t="n">
        <f aca="false">IF(Dados!G27=1,Dados!G13/Dados!G30,"n/a")</f>
        <v>0.151536388098847</v>
      </c>
      <c r="I19" s="20" t="n">
        <f aca="false">IF(Dados!H27=1,Dados!H13/Dados!H30,"n/a")</f>
        <v>0.266227378804045</v>
      </c>
      <c r="J19" s="20" t="n">
        <f aca="false">IF(Dados!I27=1,Dados!I13/Dados!I30,"n/a")</f>
        <v>0.653840163627167</v>
      </c>
      <c r="K19" s="20" t="n">
        <f aca="false">IF(Dados!J27=1,Dados!J13/Dados!J30,"n/a")</f>
        <v>0.934789828459714</v>
      </c>
      <c r="L19" s="20" t="n">
        <f aca="false">IF(Dados!K27=1,Dados!K13/Dados!K30,"n/a")</f>
        <v>1.70143392012585</v>
      </c>
      <c r="M19" s="20" t="n">
        <f aca="false">IF(Dados!L27=1,Dados!L13/Dados!L30,"n/a")</f>
        <v>2.47227072478633</v>
      </c>
      <c r="N19" s="20" t="str">
        <f aca="false">IF(Dados!M27=1,Dados!M13/Dados!M30,"n/a")</f>
        <v>n/a</v>
      </c>
      <c r="O19" s="4" t="s">
        <v>115</v>
      </c>
    </row>
    <row r="20" customFormat="false" ht="15" hidden="false" customHeight="false" outlineLevel="0" collapsed="false">
      <c r="A20" s="4" t="s">
        <v>120</v>
      </c>
      <c r="B20" s="4" t="s">
        <v>121</v>
      </c>
      <c r="C20" s="20" t="n">
        <f aca="false">IF(Dados!B27=1,(Dados!B15+Dados!B16)/Dados!B32,"n/a")</f>
        <v>0.282561425672508</v>
      </c>
      <c r="D20" s="20" t="n">
        <f aca="false">IF(Dados!C27=1,(Dados!C15+Dados!C16)/Dados!C32,"n/a")</f>
        <v>0.278253610845726</v>
      </c>
      <c r="E20" s="20" t="n">
        <f aca="false">IF(Dados!D27=1,(Dados!D15+Dados!D16)/Dados!D32,"n/a")</f>
        <v>0.376489307030967</v>
      </c>
      <c r="F20" s="20" t="n">
        <f aca="false">IF(Dados!E27=1,(Dados!E15+Dados!E16)/Dados!E32,"n/a")</f>
        <v>0.376905780612782</v>
      </c>
      <c r="G20" s="20" t="n">
        <f aca="false">IF(Dados!F27=1,(Dados!F15+Dados!F16)/Dados!F32,"n/a")</f>
        <v>0.351578334224561</v>
      </c>
      <c r="H20" s="20" t="n">
        <f aca="false">IF(Dados!G27=1,(Dados!G15+Dados!G16)/Dados!G32,"n/a")</f>
        <v>0.433075498819738</v>
      </c>
      <c r="I20" s="20" t="n">
        <f aca="false">IF(Dados!H27=1,(Dados!H15+Dados!H16)/Dados!H32,"n/a")</f>
        <v>0.57016202907802</v>
      </c>
      <c r="J20" s="20" t="n">
        <f aca="false">IF(Dados!I27=1,(Dados!I15+Dados!I16)/Dados!I32,"n/a")</f>
        <v>0.787138523627768</v>
      </c>
      <c r="K20" s="20" t="n">
        <f aca="false">IF(Dados!J27=1,(Dados!J15+Dados!J16)/Dados!J32,"n/a")</f>
        <v>0.979989343624825</v>
      </c>
      <c r="L20" s="20" t="n">
        <f aca="false">IF(Dados!K27=1,(Dados!K15+Dados!K16)/Dados!K32,"n/a")</f>
        <v>1.31739077230345</v>
      </c>
      <c r="M20" s="20" t="n">
        <f aca="false">IF(Dados!L27=1,(Dados!L15+Dados!L16)/Dados!L32,"n/a")</f>
        <v>1.81651467207302</v>
      </c>
      <c r="N20" s="20" t="str">
        <f aca="false">IF(Dados!M27=1,(Dados!M15+Dados!M16)/Dados!M32,"n/a")</f>
        <v>n/a</v>
      </c>
      <c r="O20" s="4" t="s">
        <v>115</v>
      </c>
    </row>
    <row r="21" customFormat="false" ht="15" hidden="false" customHeight="false" outlineLevel="0" collapsed="false">
      <c r="A21" s="4" t="s">
        <v>122</v>
      </c>
      <c r="B21" s="4" t="s">
        <v>123</v>
      </c>
      <c r="C21" s="18" t="n">
        <f aca="false">IF(Dados!B27=1,Dados!B15-Dados!B30,"n/a")</f>
        <v>993895173.515176</v>
      </c>
      <c r="D21" s="18" t="n">
        <f aca="false">IF(Dados!C27=1,Dados!C15-Dados!C30,"n/a")</f>
        <v>538657729.462808</v>
      </c>
      <c r="E21" s="18" t="n">
        <f aca="false">IF(Dados!D27=1,Dados!D15-Dados!D30,"n/a")</f>
        <v>-308237963.875854</v>
      </c>
      <c r="F21" s="18" t="n">
        <f aca="false">IF(Dados!E27=1,Dados!E15-Dados!E30,"n/a")</f>
        <v>-882614890.672941</v>
      </c>
      <c r="G21" s="18" t="n">
        <f aca="false">IF(Dados!F27=1,Dados!F15-Dados!F30,"n/a")</f>
        <v>-796097353.446492</v>
      </c>
      <c r="H21" s="18" t="n">
        <f aca="false">IF(Dados!G27=1,Dados!G15-Dados!G30,"n/a")</f>
        <v>-965740338.687405</v>
      </c>
      <c r="I21" s="18" t="n">
        <f aca="false">IF(Dados!H27=1,Dados!H15-Dados!H30,"n/a")</f>
        <v>-665754965.974792</v>
      </c>
      <c r="J21" s="18" t="n">
        <f aca="false">IF(Dados!I27=1,Dados!I15-Dados!I30,"n/a")</f>
        <v>-315859614.08048</v>
      </c>
      <c r="K21" s="18" t="n">
        <f aca="false">IF(Dados!J27=1,Dados!J15-Dados!J30,"n/a")</f>
        <v>151142700.97383</v>
      </c>
      <c r="L21" s="18" t="n">
        <f aca="false">IF(Dados!K27=1,Dados!K15-Dados!K30,"n/a")</f>
        <v>1094955242.151</v>
      </c>
      <c r="M21" s="18" t="n">
        <f aca="false">IF(Dados!L27=1,Dados!L15-Dados!L30,"n/a")</f>
        <v>1896704305.153</v>
      </c>
      <c r="N21" s="18" t="str">
        <f aca="false">IF(Dados!M27=1,Dados!M15-Dados!M30,"n/a")</f>
        <v>n/a</v>
      </c>
      <c r="O21" s="4" t="s">
        <v>93</v>
      </c>
    </row>
    <row r="22" customFormat="false" ht="15" hidden="false" customHeight="false" outlineLevel="0" collapsed="false">
      <c r="A22" s="13" t="s">
        <v>124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customFormat="false" ht="15" hidden="false" customHeight="false" outlineLevel="0" collapsed="false">
      <c r="A23" s="4" t="s">
        <v>125</v>
      </c>
      <c r="B23" s="4" t="s">
        <v>126</v>
      </c>
      <c r="C23" s="18" t="n">
        <f aca="false">Dados!B28</f>
        <v>5928358999.93899</v>
      </c>
      <c r="D23" s="18" t="n">
        <f aca="false">Dados!C28</f>
        <v>5977640534.00019</v>
      </c>
      <c r="E23" s="18" t="n">
        <f aca="false">Dados!D28</f>
        <v>6018540448.40929</v>
      </c>
      <c r="F23" s="18" t="n">
        <f aca="false">Dados!E28</f>
        <v>4810465464.43719</v>
      </c>
      <c r="G23" s="18" t="n">
        <f aca="false">Dados!F28</f>
        <v>3609042509.40978</v>
      </c>
      <c r="H23" s="18" t="n">
        <f aca="false">Dados!G28</f>
        <v>2750565410.84887</v>
      </c>
      <c r="I23" s="18" t="n">
        <f aca="false">Dados!H28</f>
        <v>1891551137.50308</v>
      </c>
      <c r="J23" s="18" t="n">
        <f aca="false">Dados!I28</f>
        <v>1566933664.70734</v>
      </c>
      <c r="K23" s="18" t="n">
        <f aca="false">Dados!J28</f>
        <v>1221559576.0025</v>
      </c>
      <c r="L23" s="18" t="n">
        <f aca="false">Dados!K28</f>
        <v>853027880.21927</v>
      </c>
      <c r="M23" s="18" t="n">
        <f aca="false">Dados!L28</f>
        <v>461272849.35534</v>
      </c>
      <c r="N23" s="18" t="n">
        <f aca="false">Dados!M28</f>
        <v>2.76E-007</v>
      </c>
      <c r="O23" s="4" t="s">
        <v>93</v>
      </c>
    </row>
    <row r="24" customFormat="false" ht="15" hidden="false" customHeight="false" outlineLevel="0" collapsed="false">
      <c r="A24" s="4" t="s">
        <v>127</v>
      </c>
      <c r="B24" s="4" t="s">
        <v>128</v>
      </c>
      <c r="C24" s="19" t="n">
        <f aca="false">IF(Dados!B27=1,Dados!B32/Dados!B18,"n/a")</f>
        <v>0.810515364671625</v>
      </c>
      <c r="D24" s="19" t="n">
        <f aca="false">IF(Dados!C27=1,Dados!C32/Dados!C18,"n/a")</f>
        <v>0.858858097107284</v>
      </c>
      <c r="E24" s="19" t="n">
        <f aca="false">IF(Dados!D27=1,Dados!D32/Dados!D18,"n/a")</f>
        <v>0.859893731416508</v>
      </c>
      <c r="F24" s="19" t="n">
        <f aca="false">IF(Dados!E27=1,Dados!E32/Dados!E18,"n/a")</f>
        <v>0.832845298180753</v>
      </c>
      <c r="G24" s="19" t="n">
        <f aca="false">IF(Dados!F27=1,Dados!F32/Dados!F18,"n/a")</f>
        <v>0.777529517424973</v>
      </c>
      <c r="H24" s="19" t="n">
        <f aca="false">IF(Dados!G27=1,Dados!G32/Dados!G18,"n/a")</f>
        <v>0.735578709197724</v>
      </c>
      <c r="I24" s="19" t="n">
        <f aca="false">IF(Dados!H27=1,Dados!H32/Dados!H18,"n/a")</f>
        <v>0.701537989244219</v>
      </c>
      <c r="J24" s="19" t="n">
        <f aca="false">IF(Dados!I27=1,Dados!I32/Dados!I18,"n/a")</f>
        <v>0.686140185499046</v>
      </c>
      <c r="K24" s="19" t="n">
        <f aca="false">IF(Dados!J27=1,Dados!J32/Dados!J18,"n/a")</f>
        <v>0.643018896426583</v>
      </c>
      <c r="L24" s="19" t="n">
        <f aca="false">IF(Dados!K27=1,Dados!K32/Dados!K18,"n/a")</f>
        <v>0.544865745528699</v>
      </c>
      <c r="M24" s="19" t="n">
        <f aca="false">IF(Dados!L27=1,Dados!L32/Dados!L18,"n/a")</f>
        <v>0.467350445219301</v>
      </c>
      <c r="N24" s="19" t="str">
        <f aca="false">IF(Dados!M27=1,Dados!M32/Dados!M18,"n/a")</f>
        <v>n/a</v>
      </c>
      <c r="O24" s="4" t="s">
        <v>10</v>
      </c>
    </row>
    <row r="25" customFormat="false" ht="15" hidden="false" customHeight="false" outlineLevel="0" collapsed="false">
      <c r="A25" s="4" t="s">
        <v>129</v>
      </c>
      <c r="B25" s="4" t="s">
        <v>130</v>
      </c>
      <c r="C25" s="20" t="n">
        <f aca="false">IF(AND(Dados!B27=1,Dados!B33&gt;0),Dados!B32/Dados!B33,"n/a")</f>
        <v>4.2774727527492</v>
      </c>
      <c r="D25" s="20" t="n">
        <f aca="false">IF(AND(Dados!C27=1,Dados!C33&gt;0),Dados!C32/Dados!C33,"n/a")</f>
        <v>6.08506814432609</v>
      </c>
      <c r="E25" s="20" t="n">
        <f aca="false">IF(AND(Dados!D27=1,Dados!D33&gt;0),Dados!D32/Dados!D33,"n/a")</f>
        <v>6.13743938886134</v>
      </c>
      <c r="F25" s="20" t="n">
        <f aca="false">IF(AND(Dados!E27=1,Dados!E33&gt;0),Dados!E32/Dados!E33,"n/a")</f>
        <v>4.98248203089345</v>
      </c>
      <c r="G25" s="20" t="n">
        <f aca="false">IF(AND(Dados!F27=1,Dados!F33&gt;0),Dados!F32/Dados!F33,"n/a")</f>
        <v>3.49497833796281</v>
      </c>
      <c r="H25" s="20" t="n">
        <f aca="false">IF(AND(Dados!G27=1,Dados!G33&gt;0),Dados!G32/Dados!G33,"n/a")</f>
        <v>2.78184372739114</v>
      </c>
      <c r="I25" s="20" t="n">
        <f aca="false">IF(AND(Dados!H27=1,Dados!H33&gt;0),Dados!H32/Dados!H33,"n/a")</f>
        <v>2.35051016199994</v>
      </c>
      <c r="J25" s="20" t="n">
        <f aca="false">IF(AND(Dados!I27=1,Dados!I33&gt;0),Dados!I32/Dados!I33,"n/a")</f>
        <v>2.18613582817941</v>
      </c>
      <c r="K25" s="20" t="n">
        <f aca="false">IF(AND(Dados!J27=1,Dados!J33&gt;0),Dados!J32/Dados!J33,"n/a")</f>
        <v>1.80126872261853</v>
      </c>
      <c r="L25" s="20" t="n">
        <f aca="false">IF(AND(Dados!K27=1,Dados!K33&gt;0),Dados!K32/Dados!K33,"n/a")</f>
        <v>1.19715389509858</v>
      </c>
      <c r="M25" s="20" t="n">
        <f aca="false">IF(AND(Dados!L27=1,Dados!L33&gt;0),Dados!L32/Dados!L33,"n/a")</f>
        <v>0.877406994951751</v>
      </c>
      <c r="N25" s="20" t="str">
        <f aca="false">IF(AND(Dados!M27=1,Dados!M33&gt;0),Dados!M32/Dados!M33,"n/a")</f>
        <v>n/a</v>
      </c>
      <c r="O25" s="4" t="s">
        <v>115</v>
      </c>
    </row>
    <row r="26" customFormat="false" ht="15" hidden="false" customHeight="false" outlineLevel="0" collapsed="false">
      <c r="A26" s="4" t="s">
        <v>131</v>
      </c>
      <c r="B26" s="4" t="s">
        <v>132</v>
      </c>
      <c r="C26" s="19" t="n">
        <f aca="false">IF(Dados!B27=1,Dados!B30/Dados!B32,"n/a")</f>
        <v>0.093054934969207</v>
      </c>
      <c r="D26" s="19" t="n">
        <f aca="false">IF(Dados!C27=1,Dados!C30/Dados!C32,"n/a")</f>
        <v>0.115738960736713</v>
      </c>
      <c r="E26" s="19" t="n">
        <f aca="false">IF(Dados!D27=1,Dados!D30/Dados!D32,"n/a")</f>
        <v>0.279724607060527</v>
      </c>
      <c r="F26" s="19" t="n">
        <f aca="false">IF(Dados!E27=1,Dados!E30/Dados!E32,"n/a")</f>
        <v>0.315951650379651</v>
      </c>
      <c r="G26" s="19" t="n">
        <f aca="false">IF(Dados!F27=1,Dados!F30/Dados!F32,"n/a")</f>
        <v>0.260735479386763</v>
      </c>
      <c r="H26" s="19" t="n">
        <f aca="false">IF(Dados!G27=1,Dados!G30/Dados!G32,"n/a")</f>
        <v>0.31737059389675</v>
      </c>
      <c r="I26" s="19" t="n">
        <f aca="false">IF(Dados!H27=1,Dados!H30/Dados!H32,"n/a")</f>
        <v>0.317493170764162</v>
      </c>
      <c r="J26" s="19" t="n">
        <f aca="false">IF(Dados!I27=1,Dados!I30/Dados!I32,"n/a")</f>
        <v>0.402676812461902</v>
      </c>
      <c r="K26" s="19" t="n">
        <f aca="false">IF(Dados!J27=1,Dados!J30/Dados!J32,"n/a")</f>
        <v>0.428911163338169</v>
      </c>
      <c r="L26" s="19" t="n">
        <f aca="false">IF(Dados!K27=1,Dados!K30/Dados!K32,"n/a")</f>
        <v>0.367941283695065</v>
      </c>
      <c r="M26" s="19" t="n">
        <f aca="false">IF(Dados!L27=1,Dados!L30/Dados!L32,"n/a")</f>
        <v>0.410354717415609</v>
      </c>
      <c r="N26" s="19" t="str">
        <f aca="false">IF(Dados!M27=1,Dados!M30/Dados!M32,"n/a")</f>
        <v>n/a</v>
      </c>
      <c r="O26" s="4" t="s">
        <v>10</v>
      </c>
    </row>
    <row r="27" customFormat="false" ht="15" hidden="false" customHeight="false" outlineLevel="0" collapsed="false">
      <c r="A27" s="4" t="s">
        <v>133</v>
      </c>
      <c r="B27" s="4" t="s">
        <v>134</v>
      </c>
      <c r="C27" s="20" t="n">
        <f aca="false">IF(AND(Dados!B27=1,Dados!B33&gt;0),Dados!B17/Dados!B33,"n/a")</f>
        <v>4.06882395346956</v>
      </c>
      <c r="D27" s="20" t="n">
        <f aca="false">IF(AND(Dados!C27=1,Dados!C33&gt;0),Dados!C17/Dados!C33,"n/a")</f>
        <v>5.39187596094224</v>
      </c>
      <c r="E27" s="20" t="n">
        <f aca="false">IF(AND(Dados!D27=1,Dados!D33&gt;0),Dados!D17/Dados!D33,"n/a")</f>
        <v>4.8267590864209</v>
      </c>
      <c r="F27" s="20" t="n">
        <f aca="false">IF(AND(Dados!E27=1,Dados!E33&gt;0),Dados!E17/Dados!E33,"n/a")</f>
        <v>4.104555751666</v>
      </c>
      <c r="G27" s="20" t="n">
        <f aca="false">IF(AND(Dados!F27=1,Dados!F33&gt;0),Dados!F17/Dados!F33,"n/a")</f>
        <v>3.26621967576491</v>
      </c>
      <c r="H27" s="20" t="n">
        <f aca="false">IF(AND(Dados!G27=1,Dados!G33&gt;0),Dados!G17/Dados!G33,"n/a")</f>
        <v>2.57709536752524</v>
      </c>
      <c r="I27" s="20" t="n">
        <f aca="false">IF(AND(Dados!H27=1,Dados!H33&gt;0),Dados!H17/Dados!H33,"n/a")</f>
        <v>2.01033851867721</v>
      </c>
      <c r="J27" s="20" t="n">
        <f aca="false">IF(AND(Dados!I27=1,Dados!I33&gt;0),Dados!I17/Dados!I33,"n/a")</f>
        <v>1.46534409994704</v>
      </c>
      <c r="K27" s="20" t="n">
        <f aca="false">IF(AND(Dados!J27=1,Dados!J33&gt;0),Dados!J17/Dados!J33,"n/a")</f>
        <v>1.03604456945709</v>
      </c>
      <c r="L27" s="20" t="n">
        <f aca="false">IF(AND(Dados!K27=1,Dados!K33&gt;0),Dados!K17/Dados!K33,"n/a")</f>
        <v>0.620034400676664</v>
      </c>
      <c r="M27" s="20" t="n">
        <f aca="false">IF(AND(Dados!L27=1,Dados!L33&gt;0),Dados!L17/Dados!L33,"n/a")</f>
        <v>0.28358431524928</v>
      </c>
      <c r="N27" s="20" t="str">
        <f aca="false">IF(AND(Dados!M27=1,Dados!M33&gt;0),Dados!M17/Dados!M33,"n/a")</f>
        <v>n/a</v>
      </c>
      <c r="O27" s="4" t="s">
        <v>115</v>
      </c>
    </row>
    <row r="28" customFormat="false" ht="15" hidden="false" customHeight="false" outlineLevel="0" collapsed="false">
      <c r="A28" s="4" t="s">
        <v>135</v>
      </c>
      <c r="B28" s="4" t="s">
        <v>136</v>
      </c>
      <c r="C28" s="19" t="n">
        <f aca="false">IF(Dados!B27=1,Dados!B17/(Dados!B33+Dados!B31),"n/a")</f>
        <v>0.833872320202765</v>
      </c>
      <c r="D28" s="19" t="n">
        <f aca="false">IF(Dados!C27=1,Dados!C17/(Dados!C33+Dados!C31),"n/a")</f>
        <v>0.845017164845586</v>
      </c>
      <c r="E28" s="19" t="n">
        <f aca="false">IF(Dados!D27=1,Dados!D17/(Dados!D33+Dados!D31),"n/a")</f>
        <v>0.890439733776572</v>
      </c>
      <c r="F28" s="19" t="n">
        <f aca="false">IF(Dados!E27=1,Dados!E17/(Dados!E33+Dados!E31),"n/a")</f>
        <v>0.931105934240373</v>
      </c>
      <c r="G28" s="19" t="n">
        <f aca="false">IF(Dados!F27=1,Dados!F17/(Dados!F33+Dados!F31),"n/a")</f>
        <v>0.911406475132172</v>
      </c>
      <c r="H28" s="19" t="n">
        <f aca="false">IF(Dados!G27=1,Dados!G17/(Dados!G33+Dados!G31),"n/a")</f>
        <v>0.888969824030758</v>
      </c>
      <c r="I28" s="19" t="n">
        <f aca="false">IF(Dados!H27=1,Dados!H17/(Dados!H33+Dados!H31),"n/a")</f>
        <v>0.771948479054338</v>
      </c>
      <c r="J28" s="19" t="n">
        <f aca="false">IF(Dados!I27=1,Dados!I17/(Dados!I33+Dados!I31),"n/a")</f>
        <v>0.635495392384635</v>
      </c>
      <c r="K28" s="19" t="n">
        <f aca="false">IF(Dados!J27=1,Dados!J17/(Dados!J33+Dados!J31),"n/a")</f>
        <v>0.510697740449313</v>
      </c>
      <c r="L28" s="19" t="n">
        <f aca="false">IF(Dados!K27=1,Dados!K17/(Dados!K33+Dados!K31),"n/a")</f>
        <v>0.352959777375545</v>
      </c>
      <c r="M28" s="19" t="n">
        <f aca="false">IF(Dados!L27=1,Dados!L17/(Dados!L33+Dados!L31),"n/a")</f>
        <v>0.186893368532696</v>
      </c>
      <c r="N28" s="19" t="str">
        <f aca="false">IF(Dados!M27=1,Dados!M17/(Dados!M33+Dados!M31),"n/a")</f>
        <v>n/a</v>
      </c>
      <c r="O28" s="4" t="s">
        <v>10</v>
      </c>
    </row>
    <row r="29" customFormat="false" ht="15" hidden="false" customHeight="false" outlineLevel="0" collapsed="false">
      <c r="A29" s="4" t="s">
        <v>137</v>
      </c>
      <c r="B29" s="4" t="s">
        <v>138</v>
      </c>
      <c r="C29" s="20" t="n">
        <f aca="false">IF(C12=0,"n/a",(C23-Dados!B13)/C12)</f>
        <v>0.958189739571852</v>
      </c>
      <c r="D29" s="20" t="n">
        <f aca="false">IF(D12=0,"n/a",(D23-Dados!C13)/D12)</f>
        <v>1.1469319780355</v>
      </c>
      <c r="E29" s="20" t="n">
        <f aca="false">IF(E12=0,"n/a",(E23-Dados!D13)/E12)</f>
        <v>0.941406629775871</v>
      </c>
      <c r="F29" s="20" t="n">
        <f aca="false">IF(F12=0,"n/a",(F23-Dados!E13)/F12)</f>
        <v>0.776042117974574</v>
      </c>
      <c r="G29" s="20" t="n">
        <f aca="false">IF(G12=0,"n/a",(G23-Dados!F13)/G12)</f>
        <v>0.638190506564002</v>
      </c>
      <c r="H29" s="20" t="n">
        <f aca="false">IF(H12=0,"n/a",(H23-Dados!G13)/H12)</f>
        <v>0.447494651500098</v>
      </c>
      <c r="I29" s="20" t="n">
        <f aca="false">IF(I12=0,"n/a",(I23-Dados!H13)/I12)</f>
        <v>0.250977897669592</v>
      </c>
      <c r="J29" s="20" t="n">
        <f aca="false">IF(J12=0,"n/a",(J23-Dados!I13)/J12)</f>
        <v>0.0315481134480893</v>
      </c>
      <c r="K29" s="20" t="n">
        <f aca="false">IF(K12=0,"n/a",(K23-Dados!J13)/K12)</f>
        <v>-0.105692720281085</v>
      </c>
      <c r="L29" s="20" t="n">
        <f aca="false">IF(L12=0,"n/a",(L23-Dados!K13)/L12)</f>
        <v>-0.201553351861363</v>
      </c>
      <c r="M29" s="20" t="n">
        <f aca="false">IF(M12=0,"n/a",(M23-Dados!L13)/M12)</f>
        <v>-0.344817184074431</v>
      </c>
      <c r="N29" s="20" t="n">
        <f aca="false">IF(N12=0,"n/a",(N23-Dados!M13)/N12)</f>
        <v>-0.0362226128494232</v>
      </c>
      <c r="O29" s="4" t="s">
        <v>115</v>
      </c>
    </row>
    <row r="30" customFormat="false" ht="15" hidden="false" customHeight="false" outlineLevel="0" collapsed="false">
      <c r="A30" s="4" t="s">
        <v>139</v>
      </c>
      <c r="B30" s="4" t="s">
        <v>140</v>
      </c>
      <c r="C30" s="20" t="n">
        <f aca="false">IF(Dados!B11=0,"n/a",Dados!B37/-Dados!B11)</f>
        <v>6.2330989711081</v>
      </c>
      <c r="D30" s="20" t="n">
        <f aca="false">IF(Dados!C11=0,"n/a",Dados!C37/-Dados!C11)</f>
        <v>5.21483612808488</v>
      </c>
      <c r="E30" s="20" t="n">
        <f aca="false">IF(Dados!D11=0,"n/a",Dados!D37/-Dados!D11)</f>
        <v>6.02055462926572</v>
      </c>
      <c r="F30" s="20" t="n">
        <f aca="false">IF(Dados!E11=0,"n/a",Dados!E37/-Dados!E11)</f>
        <v>6.64077960125977</v>
      </c>
      <c r="G30" s="20" t="n">
        <f aca="false">IF(Dados!F11=0,"n/a",Dados!F37/-Dados!F11)</f>
        <v>10.0454804438752</v>
      </c>
      <c r="H30" s="20" t="n">
        <f aca="false">IF(Dados!G11=0,"n/a",Dados!G37/-Dados!G11)</f>
        <v>20.3095620153758</v>
      </c>
      <c r="I30" s="20" t="n">
        <f aca="false">IF(Dados!H11=0,"n/a",Dados!H37/-Dados!H11)</f>
        <v>26.9459183669848</v>
      </c>
      <c r="J30" s="20" t="n">
        <f aca="false">IF(Dados!I11=0,"n/a",Dados!I37/-Dados!I11)</f>
        <v>30.5189684958987</v>
      </c>
      <c r="K30" s="20" t="n">
        <f aca="false">IF(Dados!J11=0,"n/a",Dados!J37/-Dados!J11)</f>
        <v>30.4299487866948</v>
      </c>
      <c r="L30" s="20" t="n">
        <f aca="false">IF(Dados!K11=0,"n/a",Dados!K37/-Dados!K11)</f>
        <v>53.6309525545519</v>
      </c>
      <c r="M30" s="20" t="n">
        <f aca="false">IF(Dados!L11=0,"n/a",Dados!L37/-Dados!L11)</f>
        <v>174.694051005181</v>
      </c>
      <c r="N30" s="20" t="n">
        <f aca="false">IF(Dados!M11=0,"n/a",Dados!M37/-Dados!M11)</f>
        <v>541.331459705486</v>
      </c>
      <c r="O30" s="4" t="s">
        <v>115</v>
      </c>
    </row>
    <row r="31" customFormat="false" ht="15" hidden="false" customHeight="false" outlineLevel="0" collapsed="false">
      <c r="A31" s="13" t="s">
        <v>141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customFormat="false" ht="15" hidden="false" customHeight="false" outlineLevel="0" collapsed="false">
      <c r="A32" s="4" t="s">
        <v>142</v>
      </c>
      <c r="B32" s="4" t="s">
        <v>143</v>
      </c>
      <c r="C32" s="18" t="n">
        <f aca="false">Dados!B37*(1-Premissas!$B$9)</f>
        <v>2854904571.54964</v>
      </c>
      <c r="D32" s="18" t="n">
        <f aca="false">Dados!C37*(1-Premissas!$B$9)</f>
        <v>2370811519.51438</v>
      </c>
      <c r="E32" s="18" t="n">
        <f aca="false">Dados!D37*(1-Premissas!$B$9)</f>
        <v>2479720074.5147</v>
      </c>
      <c r="F32" s="18" t="n">
        <f aca="false">Dados!E37*(1-Premissas!$B$9)</f>
        <v>2603633571.99047</v>
      </c>
      <c r="G32" s="18" t="n">
        <f aca="false">Dados!F37*(1-Premissas!$B$9)</f>
        <v>2867111403.67999</v>
      </c>
      <c r="H32" s="18" t="n">
        <f aca="false">Dados!G37*(1-Premissas!$B$9)</f>
        <v>3104896922.68146</v>
      </c>
      <c r="I32" s="18" t="n">
        <f aca="false">Dados!H37*(1-Premissas!$B$9)</f>
        <v>3274961990.45609</v>
      </c>
      <c r="J32" s="18" t="n">
        <f aca="false">Dados!I37*(1-Premissas!$B$9)</f>
        <v>3533631256.73117</v>
      </c>
      <c r="K32" s="18" t="n">
        <f aca="false">Dados!J37*(1-Premissas!$B$9)</f>
        <v>3785319930.86971</v>
      </c>
      <c r="L32" s="18" t="n">
        <f aca="false">Dados!K37*(1-Premissas!$B$9)</f>
        <v>4205749552.36394</v>
      </c>
      <c r="M32" s="18" t="n">
        <f aca="false">Dados!L37*(1-Premissas!$B$9)</f>
        <v>4698847872.20091</v>
      </c>
      <c r="N32" s="18" t="n">
        <f aca="false">Dados!M37*(1-Premissas!$B$9)</f>
        <v>6920079380.15451</v>
      </c>
      <c r="O32" s="4" t="s">
        <v>93</v>
      </c>
    </row>
    <row r="33" customFormat="false" ht="15" hidden="false" customHeight="false" outlineLevel="0" collapsed="false">
      <c r="A33" s="4" t="s">
        <v>144</v>
      </c>
      <c r="B33" s="4" t="s">
        <v>145</v>
      </c>
      <c r="C33" s="19" t="n">
        <f aca="false">IF(Dados!B36=0,"n/a",Dados!B34/Dados!B36*Premissas!$B$13+Dados!B35/Dados!B36*Premissas!$B$15)</f>
        <v>0.086796672367934</v>
      </c>
      <c r="D33" s="19" t="n">
        <f aca="false">IF(Dados!C36=0,"n/a",Dados!C34/Dados!C36*Premissas!$B$13+Dados!C35/Dados!C36*Premissas!$B$15)</f>
        <v>0.086796672367934</v>
      </c>
      <c r="E33" s="19" t="n">
        <f aca="false">IF(Dados!D36=0,"n/a",Dados!D34/Dados!D36*Premissas!$B$13+Dados!D35/Dados!D36*Premissas!$B$15)</f>
        <v>0.0821099968907665</v>
      </c>
      <c r="F33" s="19" t="n">
        <f aca="false">IF(Dados!E36=0,"n/a",Dados!E34/Dados!E36*Premissas!$B$13+Dados!E35/Dados!E36*Premissas!$B$15)</f>
        <v>0.0824896508048819</v>
      </c>
      <c r="G33" s="19" t="n">
        <f aca="false">IF(Dados!F36=0,"n/a",Dados!F34/Dados!F36*Premissas!$B$13+Dados!F35/Dados!F36*Premissas!$B$15)</f>
        <v>0.0865855353093176</v>
      </c>
      <c r="H33" s="19" t="n">
        <f aca="false">IF(Dados!G36=0,"n/a",Dados!G34/Dados!G36*Premissas!$B$13+Dados!G35/Dados!G36*Premissas!$B$15)</f>
        <v>0.0932342986303512</v>
      </c>
      <c r="I33" s="19" t="n">
        <f aca="false">IF(Dados!H36=0,"n/a",Dados!H34/Dados!H36*Premissas!$B$13+Dados!H35/Dados!H36*Premissas!$B$15)</f>
        <v>0.100417356907934</v>
      </c>
      <c r="J33" s="19" t="n">
        <f aca="false">IF(Dados!I36=0,"n/a",Dados!I34/Dados!I36*Premissas!$B$13+Dados!I35/Dados!I36*Premissas!$B$15)</f>
        <v>0.109647457686995</v>
      </c>
      <c r="K33" s="19" t="n">
        <f aca="false">IF(Dados!J36=0,"n/a",Dados!J34/Dados!J36*Premissas!$B$13+Dados!J35/Dados!J36*Premissas!$B$15)</f>
        <v>0.11544719327085</v>
      </c>
      <c r="L33" s="19" t="n">
        <f aca="false">IF(Dados!K36=0,"n/a",Dados!K34/Dados!K36*Premissas!$B$13+Dados!K35/Dados!K36*Premissas!$B$15)</f>
        <v>0.122214794280543</v>
      </c>
      <c r="M33" s="19" t="n">
        <f aca="false">IF(Dados!L36=0,"n/a",Dados!L34/Dados!L36*Premissas!$B$13+Dados!L35/Dados!L36*Premissas!$B$15)</f>
        <v>0.1303175407095</v>
      </c>
      <c r="N33" s="19" t="n">
        <f aca="false">IF(Dados!M36=0,"n/a",Dados!M34/Dados!M36*Premissas!$B$13+Dados!M35/Dados!M36*Premissas!$B$15)</f>
        <v>0.138791817400153</v>
      </c>
      <c r="O33" s="4" t="s">
        <v>10</v>
      </c>
    </row>
    <row r="34" customFormat="false" ht="15" hidden="false" customHeight="false" outlineLevel="0" collapsed="false">
      <c r="A34" s="4" t="s">
        <v>146</v>
      </c>
      <c r="B34" s="4" t="s">
        <v>147</v>
      </c>
      <c r="C34" s="18" t="n">
        <f aca="false">IF(C33="n/a","n/a",C32-C33*Dados!B36)</f>
        <v>2165496462.48363</v>
      </c>
      <c r="D34" s="18" t="n">
        <f aca="false">IF(D33="n/a","n/a",D32-D33*Dados!C36)</f>
        <v>1681403410.44837</v>
      </c>
      <c r="E34" s="18" t="n">
        <f aca="false">IF(E33="n/a","n/a",E32-E33*Dados!D36)</f>
        <v>1868890360.67376</v>
      </c>
      <c r="F34" s="18" t="n">
        <f aca="false">IF(F33="n/a","n/a",F32-F33*Dados!E36)</f>
        <v>1982200178.70809</v>
      </c>
      <c r="G34" s="18" t="n">
        <f aca="false">IF(G33="n/a","n/a",G32-G33*Dados!F36)</f>
        <v>2310982292.84766</v>
      </c>
      <c r="H34" s="18" t="n">
        <f aca="false">IF(H33="n/a","n/a",H32-H33*Dados!G36)</f>
        <v>2601079822.35248</v>
      </c>
      <c r="I34" s="18" t="n">
        <f aca="false">IF(I33="n/a","n/a",I32-I33*Dados!H36)</f>
        <v>2798973936.19681</v>
      </c>
      <c r="J34" s="18" t="n">
        <f aca="false">IF(J33="n/a","n/a",J32-J33*Dados!I36)</f>
        <v>3090189743.18567</v>
      </c>
      <c r="K34" s="18" t="n">
        <f aca="false">IF(K33="n/a","n/a",K32-K33*Dados!J36)</f>
        <v>3329640523.52242</v>
      </c>
      <c r="L34" s="18" t="n">
        <f aca="false">IF(L33="n/a","n/a",L32-L33*Dados!K36)</f>
        <v>3730981283.28887</v>
      </c>
      <c r="M34" s="18" t="n">
        <f aca="false">IF(M33="n/a","n/a",M32-M33*Dados!L36)</f>
        <v>4183337643.57248</v>
      </c>
      <c r="N34" s="18" t="n">
        <f aca="false">IF(N33="n/a","n/a",N32-N33*Dados!M36)</f>
        <v>6349965407.76258</v>
      </c>
      <c r="O34" s="4" t="s">
        <v>93</v>
      </c>
    </row>
    <row r="35" customFormat="false" ht="15" hidden="false" customHeight="false" outlineLevel="0" collapsed="false">
      <c r="A35" s="4" t="s">
        <v>148</v>
      </c>
      <c r="B35" s="4" t="s">
        <v>149</v>
      </c>
      <c r="C35" s="18" t="n">
        <f aca="false">IF(C33="n/a","n/a",NPV(C33,D34:N34))</f>
        <v>19306502622.9233</v>
      </c>
      <c r="D35" s="18" t="n">
        <f aca="false">IF(D33="n/a","n/a",NPV(D33,E34:N34))</f>
        <v>19300839395.2075</v>
      </c>
      <c r="E35" s="18" t="n">
        <f aca="false">IF(E33="n/a","n/a",NPV(E33,F34:N34))</f>
        <v>19549792237.9326</v>
      </c>
      <c r="F35" s="18" t="n">
        <f aca="false">IF(F33="n/a","n/a",NPV(F33,G34:N34))</f>
        <v>19140846777.3531</v>
      </c>
      <c r="G35" s="18" t="n">
        <f aca="false">IF(G33="n/a","n/a",NPV(G33,H34:N34))</f>
        <v>18117620817.3662</v>
      </c>
      <c r="H35" s="18" t="n">
        <f aca="false">IF(H33="n/a","n/a",NPV(H33,I34:N34))</f>
        <v>16704639401.6377</v>
      </c>
      <c r="I35" s="18" t="n">
        <f aca="false">IF(I33="n/a","n/a",NPV(I33,J34:N34))</f>
        <v>15146134443.4805</v>
      </c>
      <c r="J35" s="18" t="n">
        <f aca="false">IF(J33="n/a","n/a",NPV(J33,K34:N34))</f>
        <v>13280675677.5798</v>
      </c>
      <c r="K35" s="18" t="n">
        <f aca="false">IF(K33="n/a","n/a",NPV(K33,L34:N34))</f>
        <v>11282390373.6276</v>
      </c>
      <c r="L35" s="18" t="n">
        <f aca="false">IF(L33="n/a","n/a",NPV(L33,M34:N34))</f>
        <v>8769943297.31725</v>
      </c>
      <c r="M35" s="18" t="n">
        <f aca="false">IF(M33="n/a","n/a",NPV(M33,N34:N34))</f>
        <v>5617859742.11876</v>
      </c>
      <c r="N35" s="18" t="n">
        <f aca="false">0</f>
        <v>0</v>
      </c>
      <c r="O35" s="4" t="s">
        <v>93</v>
      </c>
    </row>
    <row r="36" customFormat="false" ht="15" hidden="false" customHeight="false" outlineLevel="0" collapsed="false">
      <c r="A36" s="13" t="s">
        <v>150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customFormat="false" ht="15" hidden="false" customHeight="false" outlineLevel="0" collapsed="false">
      <c r="A37" s="4" t="s">
        <v>151</v>
      </c>
      <c r="B37" s="4" t="s">
        <v>152</v>
      </c>
      <c r="C37" s="21" t="n">
        <f aca="false">IF(Dados!B39&lt;=0,"n/a",C7*Premissas!$B$18/Dados!B39)</f>
        <v>160</v>
      </c>
      <c r="D37" s="21" t="n">
        <f aca="false">IF(Dados!C39&lt;=0,"n/a",D7*Premissas!$B$18/Dados!C39)</f>
        <v>452.596246660336</v>
      </c>
      <c r="E37" s="21" t="n">
        <f aca="false">IF(Dados!D39&lt;=0,"n/a",E7*Premissas!$B$18/Dados!D39)</f>
        <v>144.22178789842</v>
      </c>
      <c r="F37" s="21" t="n">
        <f aca="false">IF(Dados!E39&lt;=0,"n/a",F7*Premissas!$B$18/Dados!E39)</f>
        <v>131.494387345945</v>
      </c>
      <c r="G37" s="21" t="n">
        <f aca="false">IF(Dados!F39&lt;=0,"n/a",G7*Premissas!$B$18/Dados!F39)</f>
        <v>125.248037369434</v>
      </c>
      <c r="H37" s="21" t="n">
        <f aca="false">IF(Dados!G39&lt;=0,"n/a",H7*Premissas!$B$18/Dados!G39)</f>
        <v>120.123877857708</v>
      </c>
      <c r="I37" s="21" t="n">
        <f aca="false">IF(Dados!H39&lt;=0,"n/a",I7*Premissas!$B$18/Dados!H39)</f>
        <v>120.467093080085</v>
      </c>
      <c r="J37" s="21" t="n">
        <f aca="false">IF(Dados!I39&lt;=0,"n/a",J7*Premissas!$B$18/Dados!I39)</f>
        <v>117.383185630008</v>
      </c>
      <c r="K37" s="21" t="n">
        <f aca="false">IF(Dados!J39&lt;=0,"n/a",K7*Premissas!$B$18/Dados!J39)</f>
        <v>120.407725274252</v>
      </c>
      <c r="L37" s="21" t="n">
        <f aca="false">IF(Dados!K39&lt;=0,"n/a",L7*Premissas!$B$18/Dados!K39)</f>
        <v>118.399780160158</v>
      </c>
      <c r="M37" s="21" t="n">
        <f aca="false">IF(Dados!L39&lt;=0,"n/a",M7*Premissas!$B$18/Dados!L39)</f>
        <v>119.447235431367</v>
      </c>
      <c r="N37" s="21" t="n">
        <f aca="false">IF(Dados!M39&lt;=0,"n/a",N7*Premissas!$B$18/Dados!M39)</f>
        <v>77.584035260105</v>
      </c>
      <c r="O37" s="4" t="s">
        <v>153</v>
      </c>
    </row>
    <row r="38" customFormat="false" ht="15" hidden="false" customHeight="false" outlineLevel="0" collapsed="false">
      <c r="A38" s="4" t="s">
        <v>154</v>
      </c>
      <c r="B38" s="4" t="s">
        <v>155</v>
      </c>
      <c r="C38" s="21" t="n">
        <f aca="false">IF(Dados!B38=0,"n/a",C10/Dados!B38/Premissas!$B$17)</f>
        <v>7477.41842736817</v>
      </c>
      <c r="D38" s="21" t="n">
        <f aca="false">IF(Dados!C38=0,"n/a",D10/Dados!C38/Premissas!$B$17)</f>
        <v>7429.72170988822</v>
      </c>
      <c r="E38" s="21" t="n">
        <f aca="false">IF(Dados!D38=0,"n/a",E10/Dados!D38/Premissas!$B$17)</f>
        <v>7482.82013563084</v>
      </c>
      <c r="F38" s="21" t="n">
        <f aca="false">IF(Dados!E38=0,"n/a",F10/Dados!E38/Premissas!$B$17)</f>
        <v>7501.30993879773</v>
      </c>
      <c r="G38" s="21" t="n">
        <f aca="false">IF(Dados!F38=0,"n/a",G10/Dados!F38/Premissas!$B$17)</f>
        <v>7567.27223085075</v>
      </c>
      <c r="H38" s="21" t="n">
        <f aca="false">IF(Dados!G38=0,"n/a",H10/Dados!G38/Premissas!$B$17)</f>
        <v>7588.16428669975</v>
      </c>
      <c r="I38" s="21" t="n">
        <f aca="false">IF(Dados!H38=0,"n/a",I10/Dados!H38/Premissas!$B$17)</f>
        <v>7568.12926867501</v>
      </c>
      <c r="J38" s="21" t="n">
        <f aca="false">IF(Dados!I38=0,"n/a",J10/Dados!I38/Premissas!$B$17)</f>
        <v>7572.41114430111</v>
      </c>
      <c r="K38" s="21" t="n">
        <f aca="false">IF(Dados!J38=0,"n/a",K10/Dados!J38/Premissas!$B$17)</f>
        <v>7576.3681905816</v>
      </c>
      <c r="L38" s="21" t="n">
        <f aca="false">IF(Dados!K38=0,"n/a",L10/Dados!K38/Premissas!$B$17)</f>
        <v>7640.5936864039</v>
      </c>
      <c r="M38" s="21" t="n">
        <f aca="false">IF(Dados!L38=0,"n/a",M10/Dados!L38/Premissas!$B$17)</f>
        <v>7721.71422343983</v>
      </c>
      <c r="N38" s="21" t="n">
        <f aca="false">IF(Dados!M38=0,"n/a",N10/Dados!M38/Premissas!$B$17)</f>
        <v>7764.78907537693</v>
      </c>
      <c r="O38" s="4" t="s">
        <v>153</v>
      </c>
    </row>
    <row r="39" customFormat="false" ht="15" hidden="false" customHeight="false" outlineLevel="0" collapsed="false">
      <c r="A39" s="4" t="s">
        <v>156</v>
      </c>
      <c r="B39" s="4" t="s">
        <v>157</v>
      </c>
      <c r="C39" s="20" t="n">
        <f aca="false">IF(OR(C37="n/a",C38="n/a"),"n/a",C38/C37)</f>
        <v>46.7338651710511</v>
      </c>
      <c r="D39" s="20" t="n">
        <f aca="false">IF(OR(D37="n/a",D38="n/a"),"n/a",D38/D37)</f>
        <v>16.4157828632284</v>
      </c>
      <c r="E39" s="20" t="n">
        <f aca="false">IF(OR(E37="n/a",E38="n/a"),"n/a",E38/E37)</f>
        <v>51.8841171273043</v>
      </c>
      <c r="F39" s="20" t="n">
        <f aca="false">IF(OR(F37="n/a",F38="n/a"),"n/a",F38/F37)</f>
        <v>57.0466168952347</v>
      </c>
      <c r="G39" s="20" t="n">
        <f aca="false">IF(OR(G37="n/a",G38="n/a"),"n/a",G38/G37)</f>
        <v>60.4182898972715</v>
      </c>
      <c r="H39" s="20" t="n">
        <f aca="false">IF(OR(H37="n/a",H38="n/a"),"n/a",H38/H37)</f>
        <v>63.1694915451221</v>
      </c>
      <c r="I39" s="20" t="n">
        <f aca="false">IF(OR(I37="n/a",I38="n/a"),"n/a",I38/I37)</f>
        <v>62.8232081905043</v>
      </c>
      <c r="J39" s="20" t="n">
        <f aca="false">IF(OR(J37="n/a",J38="n/a"),"n/a",J38/J37)</f>
        <v>64.5101860514279</v>
      </c>
      <c r="K39" s="20" t="n">
        <f aca="false">IF(OR(K37="n/a",K38="n/a"),"n/a",K38/K37)</f>
        <v>62.9226087721943</v>
      </c>
      <c r="L39" s="20" t="n">
        <f aca="false">IF(OR(L37="n/a",L38="n/a"),"n/a",L38/L37)</f>
        <v>64.5321610907432</v>
      </c>
      <c r="M39" s="20" t="n">
        <f aca="false">IF(OR(M37="n/a",M38="n/a"),"n/a",M38/M37)</f>
        <v>64.6453992472403</v>
      </c>
      <c r="N39" s="20" t="n">
        <f aca="false">IF(OR(N37="n/a",N38="n/a"),"n/a",N38/N37)</f>
        <v>100.082304939992</v>
      </c>
      <c r="O39" s="4" t="s">
        <v>115</v>
      </c>
    </row>
    <row r="41" customFormat="false" ht="15" hidden="false" customHeight="false" outlineLevel="0" collapsed="false">
      <c r="A41" s="4" t="s">
        <v>148</v>
      </c>
      <c r="B41" s="22" t="s">
        <v>158</v>
      </c>
      <c r="C41" s="23" t="n">
        <f aca="false">NPV(C33,C34:N34)</f>
        <v>19757144672.3547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4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16.1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10" t="s">
        <v>160</v>
      </c>
    </row>
    <row r="3" customFormat="false" ht="15" hidden="false" customHeight="false" outlineLevel="0" collapsed="false">
      <c r="B3" s="24" t="s">
        <v>161</v>
      </c>
      <c r="D3" s="25" t="n">
        <f aca="false">COUNTA(G9:G369)</f>
        <v>361</v>
      </c>
    </row>
    <row r="4" customFormat="false" ht="15" hidden="false" customHeight="false" outlineLevel="0" collapsed="false">
      <c r="B4" s="24" t="s">
        <v>162</v>
      </c>
      <c r="D4" s="25" t="n">
        <f aca="false">COUNTIF(G9:G369,"OK")</f>
        <v>361</v>
      </c>
    </row>
    <row r="5" customFormat="false" ht="15" hidden="false" customHeight="false" outlineLevel="0" collapsed="false">
      <c r="B5" s="24" t="s">
        <v>163</v>
      </c>
      <c r="D5" s="25" t="n">
        <f aca="false">COUNTIF(G9:G369,"Diferente")</f>
        <v>0</v>
      </c>
    </row>
    <row r="6" customFormat="false" ht="15" hidden="false" customHeight="false" outlineLevel="0" collapsed="false">
      <c r="B6" s="24" t="s">
        <v>164</v>
      </c>
      <c r="D6" s="25" t="str">
        <f aca="false">IF(D5=0,"Todos os KPIs conferem","Verificar diferenças")</f>
        <v>Todos os KPIs conferem</v>
      </c>
    </row>
    <row r="8" customFormat="false" ht="15" hidden="false" customHeight="false" outlineLevel="0" collapsed="false">
      <c r="A8" s="3" t="s">
        <v>88</v>
      </c>
      <c r="B8" s="3" t="s">
        <v>89</v>
      </c>
      <c r="C8" s="3" t="s">
        <v>165</v>
      </c>
      <c r="D8" s="3" t="s">
        <v>166</v>
      </c>
      <c r="E8" s="3" t="s">
        <v>167</v>
      </c>
      <c r="F8" s="3" t="s">
        <v>168</v>
      </c>
      <c r="G8" s="3" t="s">
        <v>169</v>
      </c>
    </row>
    <row r="9" customFormat="false" ht="15" hidden="false" customHeight="false" outlineLevel="0" collapsed="false">
      <c r="A9" s="4" t="s">
        <v>91</v>
      </c>
      <c r="B9" s="4" t="s">
        <v>92</v>
      </c>
      <c r="C9" s="4" t="n">
        <v>1</v>
      </c>
      <c r="D9" s="11" t="n">
        <v>6722729306.39378</v>
      </c>
      <c r="E9" s="16" t="n">
        <f aca="false">KPIs!C6</f>
        <v>6722729306.39378</v>
      </c>
      <c r="F9" s="26" t="n">
        <f aca="false">IF(OR(D9="n/a",E9="n/a"),"",E9-D9)</f>
        <v>0</v>
      </c>
      <c r="G9" s="22" t="str">
        <f aca="false">IF(AND(D9="n/a",E9="n/a"),"OK",IF(OR(D9="n/a",E9="n/a"),"Diferente",IF(ABS(E9-D9)&lt;=Premissas!$B$19*MAX(1,ABS(D9)),"OK","Diferente")))</f>
        <v>OK</v>
      </c>
    </row>
    <row r="10" customFormat="false" ht="15" hidden="false" customHeight="false" outlineLevel="0" collapsed="false">
      <c r="A10" s="4" t="s">
        <v>91</v>
      </c>
      <c r="B10" s="4" t="s">
        <v>92</v>
      </c>
      <c r="C10" s="4" t="n">
        <v>2</v>
      </c>
      <c r="D10" s="11" t="n">
        <v>6114937124.26453</v>
      </c>
      <c r="E10" s="16" t="n">
        <f aca="false">KPIs!D6</f>
        <v>6114937124.26453</v>
      </c>
      <c r="F10" s="26" t="n">
        <f aca="false">IF(OR(D10="n/a",E10="n/a"),"",E10-D10)</f>
        <v>0</v>
      </c>
      <c r="G10" s="22" t="str">
        <f aca="false">IF(AND(D10="n/a",E10="n/a"),"OK",IF(OR(D10="n/a",E10="n/a"),"Diferente",IF(ABS(E10-D10)&lt;=Premissas!$B$19*MAX(1,ABS(D10)),"OK","Diferente")))</f>
        <v>OK</v>
      </c>
    </row>
    <row r="11" customFormat="false" ht="15" hidden="false" customHeight="false" outlineLevel="0" collapsed="false">
      <c r="A11" s="4" t="s">
        <v>91</v>
      </c>
      <c r="B11" s="4" t="s">
        <v>92</v>
      </c>
      <c r="C11" s="4" t="n">
        <v>3</v>
      </c>
      <c r="D11" s="11" t="n">
        <v>6251283407.10515</v>
      </c>
      <c r="E11" s="16" t="n">
        <f aca="false">KPIs!E6</f>
        <v>6251283407.10515</v>
      </c>
      <c r="F11" s="26" t="n">
        <f aca="false">IF(OR(D11="n/a",E11="n/a"),"",E11-D11)</f>
        <v>0</v>
      </c>
      <c r="G11" s="22" t="str">
        <f aca="false">IF(AND(D11="n/a",E11="n/a"),"OK",IF(OR(D11="n/a",E11="n/a"),"Diferente",IF(ABS(E11-D11)&lt;=Premissas!$B$19*MAX(1,ABS(D11)),"OK","Diferente")))</f>
        <v>OK</v>
      </c>
    </row>
    <row r="12" customFormat="false" ht="15" hidden="false" customHeight="false" outlineLevel="0" collapsed="false">
      <c r="A12" s="4" t="s">
        <v>91</v>
      </c>
      <c r="B12" s="4" t="s">
        <v>92</v>
      </c>
      <c r="C12" s="4" t="n">
        <v>4</v>
      </c>
      <c r="D12" s="11" t="n">
        <v>6506532056.98804</v>
      </c>
      <c r="E12" s="16" t="n">
        <f aca="false">KPIs!F6</f>
        <v>6506532056.98804</v>
      </c>
      <c r="F12" s="26" t="n">
        <f aca="false">IF(OR(D12="n/a",E12="n/a"),"",E12-D12)</f>
        <v>0</v>
      </c>
      <c r="G12" s="22" t="str">
        <f aca="false">IF(AND(D12="n/a",E12="n/a"),"OK",IF(OR(D12="n/a",E12="n/a"),"Diferente",IF(ABS(E12-D12)&lt;=Premissas!$B$19*MAX(1,ABS(D12)),"OK","Diferente")))</f>
        <v>OK</v>
      </c>
    </row>
    <row r="13" customFormat="false" ht="15" hidden="false" customHeight="false" outlineLevel="0" collapsed="false">
      <c r="A13" s="4" t="s">
        <v>91</v>
      </c>
      <c r="B13" s="4" t="s">
        <v>92</v>
      </c>
      <c r="C13" s="4" t="n">
        <v>5</v>
      </c>
      <c r="D13" s="11" t="n">
        <v>6844711176.35969</v>
      </c>
      <c r="E13" s="16" t="n">
        <f aca="false">KPIs!G6</f>
        <v>6844711176.35969</v>
      </c>
      <c r="F13" s="26" t="n">
        <f aca="false">IF(OR(D13="n/a",E13="n/a"),"",E13-D13)</f>
        <v>0</v>
      </c>
      <c r="G13" s="22" t="str">
        <f aca="false">IF(AND(D13="n/a",E13="n/a"),"OK",IF(OR(D13="n/a",E13="n/a"),"Diferente",IF(ABS(E13-D13)&lt;=Premissas!$B$19*MAX(1,ABS(D13)),"OK","Diferente")))</f>
        <v>OK</v>
      </c>
    </row>
    <row r="14" customFormat="false" ht="15" hidden="false" customHeight="false" outlineLevel="0" collapsed="false">
      <c r="A14" s="4" t="s">
        <v>91</v>
      </c>
      <c r="B14" s="4" t="s">
        <v>92</v>
      </c>
      <c r="C14" s="4" t="n">
        <v>6</v>
      </c>
      <c r="D14" s="11" t="n">
        <v>7270773000.43272</v>
      </c>
      <c r="E14" s="16" t="n">
        <f aca="false">KPIs!H6</f>
        <v>7270773000.43272</v>
      </c>
      <c r="F14" s="26" t="n">
        <f aca="false">IF(OR(D14="n/a",E14="n/a"),"",E14-D14)</f>
        <v>0</v>
      </c>
      <c r="G14" s="22" t="str">
        <f aca="false">IF(AND(D14="n/a",E14="n/a"),"OK",IF(OR(D14="n/a",E14="n/a"),"Diferente",IF(ABS(E14-D14)&lt;=Premissas!$B$19*MAX(1,ABS(D14)),"OK","Diferente")))</f>
        <v>OK</v>
      </c>
    </row>
    <row r="15" customFormat="false" ht="15" hidden="false" customHeight="false" outlineLevel="0" collapsed="false">
      <c r="A15" s="4" t="s">
        <v>91</v>
      </c>
      <c r="B15" s="4" t="s">
        <v>92</v>
      </c>
      <c r="C15" s="4" t="n">
        <v>7</v>
      </c>
      <c r="D15" s="11" t="n">
        <v>7720095941.31161</v>
      </c>
      <c r="E15" s="16" t="n">
        <f aca="false">KPIs!I6</f>
        <v>7720095941.31161</v>
      </c>
      <c r="F15" s="26" t="n">
        <f aca="false">IF(OR(D15="n/a",E15="n/a"),"",E15-D15)</f>
        <v>0</v>
      </c>
      <c r="G15" s="22" t="str">
        <f aca="false">IF(AND(D15="n/a",E15="n/a"),"OK",IF(OR(D15="n/a",E15="n/a"),"Diferente",IF(ABS(E15-D15)&lt;=Premissas!$B$19*MAX(1,ABS(D15)),"OK","Diferente")))</f>
        <v>OK</v>
      </c>
    </row>
    <row r="16" customFormat="false" ht="15" hidden="false" customHeight="false" outlineLevel="0" collapsed="false">
      <c r="A16" s="4" t="s">
        <v>91</v>
      </c>
      <c r="B16" s="4" t="s">
        <v>92</v>
      </c>
      <c r="C16" s="4" t="n">
        <v>8</v>
      </c>
      <c r="D16" s="11" t="n">
        <v>8248988345.01317</v>
      </c>
      <c r="E16" s="16" t="n">
        <f aca="false">KPIs!J6</f>
        <v>8248988345.01317</v>
      </c>
      <c r="F16" s="26" t="n">
        <f aca="false">IF(OR(D16="n/a",E16="n/a"),"",E16-D16)</f>
        <v>0</v>
      </c>
      <c r="G16" s="22" t="str">
        <f aca="false">IF(AND(D16="n/a",E16="n/a"),"OK",IF(OR(D16="n/a",E16="n/a"),"Diferente",IF(ABS(E16-D16)&lt;=Premissas!$B$19*MAX(1,ABS(D16)),"OK","Diferente")))</f>
        <v>OK</v>
      </c>
    </row>
    <row r="17" customFormat="false" ht="15" hidden="false" customHeight="false" outlineLevel="0" collapsed="false">
      <c r="A17" s="4" t="s">
        <v>91</v>
      </c>
      <c r="B17" s="4" t="s">
        <v>92</v>
      </c>
      <c r="C17" s="4" t="n">
        <v>9</v>
      </c>
      <c r="D17" s="11" t="n">
        <v>8756415620.76972</v>
      </c>
      <c r="E17" s="16" t="n">
        <f aca="false">KPIs!K6</f>
        <v>8756415620.76972</v>
      </c>
      <c r="F17" s="26" t="n">
        <f aca="false">IF(OR(D17="n/a",E17="n/a"),"",E17-D17)</f>
        <v>0</v>
      </c>
      <c r="G17" s="22" t="str">
        <f aca="false">IF(AND(D17="n/a",E17="n/a"),"OK",IF(OR(D17="n/a",E17="n/a"),"Diferente",IF(ABS(E17-D17)&lt;=Premissas!$B$19*MAX(1,ABS(D17)),"OK","Diferente")))</f>
        <v>OK</v>
      </c>
    </row>
    <row r="18" customFormat="false" ht="15" hidden="false" customHeight="false" outlineLevel="0" collapsed="false">
      <c r="A18" s="4" t="s">
        <v>91</v>
      </c>
      <c r="B18" s="4" t="s">
        <v>92</v>
      </c>
      <c r="C18" s="4" t="n">
        <v>10</v>
      </c>
      <c r="D18" s="11" t="n">
        <v>9334635921.08705</v>
      </c>
      <c r="E18" s="16" t="n">
        <f aca="false">KPIs!L6</f>
        <v>9334635921.08705</v>
      </c>
      <c r="F18" s="26" t="n">
        <f aca="false">IF(OR(D18="n/a",E18="n/a"),"",E18-D18)</f>
        <v>0</v>
      </c>
      <c r="G18" s="22" t="str">
        <f aca="false">IF(AND(D18="n/a",E18="n/a"),"OK",IF(OR(D18="n/a",E18="n/a"),"Diferente",IF(ABS(E18-D18)&lt;=Premissas!$B$19*MAX(1,ABS(D18)),"OK","Diferente")))</f>
        <v>OK</v>
      </c>
    </row>
    <row r="19" customFormat="false" ht="15" hidden="false" customHeight="false" outlineLevel="0" collapsed="false">
      <c r="A19" s="4" t="s">
        <v>91</v>
      </c>
      <c r="B19" s="4" t="s">
        <v>92</v>
      </c>
      <c r="C19" s="4" t="n">
        <v>11</v>
      </c>
      <c r="D19" s="11" t="n">
        <v>9930604301.88649</v>
      </c>
      <c r="E19" s="16" t="n">
        <f aca="false">KPIs!M6</f>
        <v>9930604301.88649</v>
      </c>
      <c r="F19" s="26" t="n">
        <f aca="false">IF(OR(D19="n/a",E19="n/a"),"",E19-D19)</f>
        <v>0</v>
      </c>
      <c r="G19" s="22" t="str">
        <f aca="false">IF(AND(D19="n/a",E19="n/a"),"OK",IF(OR(D19="n/a",E19="n/a"),"Diferente",IF(ABS(E19-D19)&lt;=Premissas!$B$19*MAX(1,ABS(D19)),"OK","Diferente")))</f>
        <v>OK</v>
      </c>
    </row>
    <row r="20" customFormat="false" ht="15" hidden="false" customHeight="false" outlineLevel="0" collapsed="false">
      <c r="A20" s="4" t="s">
        <v>91</v>
      </c>
      <c r="B20" s="4" t="s">
        <v>92</v>
      </c>
      <c r="C20" s="4" t="n">
        <v>12</v>
      </c>
      <c r="D20" s="11" t="n">
        <v>12222538183.3716</v>
      </c>
      <c r="E20" s="16" t="n">
        <f aca="false">KPIs!N6</f>
        <v>12222538183.3716</v>
      </c>
      <c r="F20" s="26" t="n">
        <f aca="false">IF(OR(D20="n/a",E20="n/a"),"",E20-D20)</f>
        <v>0</v>
      </c>
      <c r="G20" s="22" t="str">
        <f aca="false">IF(AND(D20="n/a",E20="n/a"),"OK",IF(OR(D20="n/a",E20="n/a"),"Diferente",IF(ABS(E20-D20)&lt;=Premissas!$B$19*MAX(1,ABS(D20)),"OK","Diferente")))</f>
        <v>OK</v>
      </c>
    </row>
    <row r="21" customFormat="false" ht="15" hidden="false" customHeight="false" outlineLevel="0" collapsed="false">
      <c r="A21" s="4" t="s">
        <v>94</v>
      </c>
      <c r="B21" s="4" t="s">
        <v>95</v>
      </c>
      <c r="C21" s="4" t="n">
        <v>1</v>
      </c>
      <c r="D21" s="11" t="n">
        <v>6251265100.45629</v>
      </c>
      <c r="E21" s="16" t="n">
        <f aca="false">KPIs!C7</f>
        <v>6251265100.45628</v>
      </c>
      <c r="F21" s="26" t="n">
        <f aca="false">IF(OR(D21="n/a",E21="n/a"),"",E21-D21)</f>
        <v>0</v>
      </c>
      <c r="G21" s="22" t="str">
        <f aca="false">IF(AND(D21="n/a",E21="n/a"),"OK",IF(OR(D21="n/a",E21="n/a"),"Diferente",IF(ABS(E21-D21)&lt;=Premissas!$B$19*MAX(1,ABS(D21)),"OK","Diferente")))</f>
        <v>OK</v>
      </c>
    </row>
    <row r="22" customFormat="false" ht="15" hidden="false" customHeight="false" outlineLevel="0" collapsed="false">
      <c r="A22" s="4" t="s">
        <v>94</v>
      </c>
      <c r="B22" s="4" t="s">
        <v>95</v>
      </c>
      <c r="C22" s="4" t="n">
        <v>2</v>
      </c>
      <c r="D22" s="11" t="n">
        <v>5611118323.7901</v>
      </c>
      <c r="E22" s="16" t="n">
        <f aca="false">KPIs!D7</f>
        <v>5611118323.7901</v>
      </c>
      <c r="F22" s="26" t="n">
        <f aca="false">IF(OR(D22="n/a",E22="n/a"),"",E22-D22)</f>
        <v>0</v>
      </c>
      <c r="G22" s="22" t="str">
        <f aca="false">IF(AND(D22="n/a",E22="n/a"),"OK",IF(OR(D22="n/a",E22="n/a"),"Diferente",IF(ABS(E22-D22)&lt;=Premissas!$B$19*MAX(1,ABS(D22)),"OK","Diferente")))</f>
        <v>OK</v>
      </c>
    </row>
    <row r="23" customFormat="false" ht="15" hidden="false" customHeight="false" outlineLevel="0" collapsed="false">
      <c r="A23" s="4" t="s">
        <v>94</v>
      </c>
      <c r="B23" s="4" t="s">
        <v>95</v>
      </c>
      <c r="C23" s="4" t="n">
        <v>3</v>
      </c>
      <c r="D23" s="11" t="n">
        <v>5721580932.00879</v>
      </c>
      <c r="E23" s="16" t="n">
        <f aca="false">KPIs!E7</f>
        <v>5721580932.00879</v>
      </c>
      <c r="F23" s="26" t="n">
        <f aca="false">IF(OR(D23="n/a",E23="n/a"),"",E23-D23)</f>
        <v>0</v>
      </c>
      <c r="G23" s="22" t="str">
        <f aca="false">IF(AND(D23="n/a",E23="n/a"),"OK",IF(OR(D23="n/a",E23="n/a"),"Diferente",IF(ABS(E23-D23)&lt;=Premissas!$B$19*MAX(1,ABS(D23)),"OK","Diferente")))</f>
        <v>OK</v>
      </c>
    </row>
    <row r="24" customFormat="false" ht="15" hidden="false" customHeight="false" outlineLevel="0" collapsed="false">
      <c r="A24" s="4" t="s">
        <v>94</v>
      </c>
      <c r="B24" s="4" t="s">
        <v>95</v>
      </c>
      <c r="C24" s="4" t="n">
        <v>4</v>
      </c>
      <c r="D24" s="11" t="n">
        <v>5949170260.87084</v>
      </c>
      <c r="E24" s="16" t="n">
        <f aca="false">KPIs!F7</f>
        <v>5949170260.87084</v>
      </c>
      <c r="F24" s="26" t="n">
        <f aca="false">IF(OR(D24="n/a",E24="n/a"),"",E24-D24)</f>
        <v>0</v>
      </c>
      <c r="G24" s="22" t="str">
        <f aca="false">IF(AND(D24="n/a",E24="n/a"),"OK",IF(OR(D24="n/a",E24="n/a"),"Diferente",IF(ABS(E24-D24)&lt;=Premissas!$B$19*MAX(1,ABS(D24)),"OK","Diferente")))</f>
        <v>OK</v>
      </c>
    </row>
    <row r="25" customFormat="false" ht="15" hidden="false" customHeight="false" outlineLevel="0" collapsed="false">
      <c r="A25" s="4" t="s">
        <v>94</v>
      </c>
      <c r="B25" s="4" t="s">
        <v>95</v>
      </c>
      <c r="C25" s="4" t="n">
        <v>5</v>
      </c>
      <c r="D25" s="11" t="n">
        <v>6255465594.52894</v>
      </c>
      <c r="E25" s="16" t="n">
        <f aca="false">KPIs!G7</f>
        <v>6255465594.52894</v>
      </c>
      <c r="F25" s="26" t="n">
        <f aca="false">IF(OR(D25="n/a",E25="n/a"),"",E25-D25)</f>
        <v>0</v>
      </c>
      <c r="G25" s="22" t="str">
        <f aca="false">IF(AND(D25="n/a",E25="n/a"),"OK",IF(OR(D25="n/a",E25="n/a"),"Diferente",IF(ABS(E25-D25)&lt;=Premissas!$B$19*MAX(1,ABS(D25)),"OK","Diferente")))</f>
        <v>OK</v>
      </c>
    </row>
    <row r="26" customFormat="false" ht="15" hidden="false" customHeight="false" outlineLevel="0" collapsed="false">
      <c r="A26" s="4" t="s">
        <v>94</v>
      </c>
      <c r="B26" s="4" t="s">
        <v>95</v>
      </c>
      <c r="C26" s="4" t="n">
        <v>6</v>
      </c>
      <c r="D26" s="11" t="n">
        <v>6644719101.04102</v>
      </c>
      <c r="E26" s="16" t="n">
        <f aca="false">KPIs!H7</f>
        <v>6644719101.04102</v>
      </c>
      <c r="F26" s="26" t="n">
        <f aca="false">IF(OR(D26="n/a",E26="n/a"),"",E26-D26)</f>
        <v>0</v>
      </c>
      <c r="G26" s="22" t="str">
        <f aca="false">IF(AND(D26="n/a",E26="n/a"),"OK",IF(OR(D26="n/a",E26="n/a"),"Diferente",IF(ABS(E26-D26)&lt;=Premissas!$B$19*MAX(1,ABS(D26)),"OK","Diferente")))</f>
        <v>OK</v>
      </c>
    </row>
    <row r="27" customFormat="false" ht="15" hidden="false" customHeight="false" outlineLevel="0" collapsed="false">
      <c r="A27" s="4" t="s">
        <v>94</v>
      </c>
      <c r="B27" s="4" t="s">
        <v>95</v>
      </c>
      <c r="C27" s="4" t="n">
        <v>7</v>
      </c>
      <c r="D27" s="11" t="n">
        <v>7053177135.81206</v>
      </c>
      <c r="E27" s="16" t="n">
        <f aca="false">KPIs!I7</f>
        <v>7053177135.81206</v>
      </c>
      <c r="F27" s="26" t="n">
        <f aca="false">IF(OR(D27="n/a",E27="n/a"),"",E27-D27)</f>
        <v>0</v>
      </c>
      <c r="G27" s="22" t="str">
        <f aca="false">IF(AND(D27="n/a",E27="n/a"),"OK",IF(OR(D27="n/a",E27="n/a"),"Diferente",IF(ABS(E27-D27)&lt;=Premissas!$B$19*MAX(1,ABS(D27)),"OK","Diferente")))</f>
        <v>OK</v>
      </c>
    </row>
    <row r="28" customFormat="false" ht="15" hidden="false" customHeight="false" outlineLevel="0" collapsed="false">
      <c r="A28" s="4" t="s">
        <v>94</v>
      </c>
      <c r="B28" s="4" t="s">
        <v>95</v>
      </c>
      <c r="C28" s="4" t="n">
        <v>8</v>
      </c>
      <c r="D28" s="11" t="n">
        <v>7536000577.77491</v>
      </c>
      <c r="E28" s="16" t="n">
        <f aca="false">KPIs!J7</f>
        <v>7536000577.77491</v>
      </c>
      <c r="F28" s="26" t="n">
        <f aca="false">IF(OR(D28="n/a",E28="n/a"),"",E28-D28)</f>
        <v>0</v>
      </c>
      <c r="G28" s="22" t="str">
        <f aca="false">IF(AND(D28="n/a",E28="n/a"),"OK",IF(OR(D28="n/a",E28="n/a"),"Diferente",IF(ABS(E28-D28)&lt;=Premissas!$B$19*MAX(1,ABS(D28)),"OK","Diferente")))</f>
        <v>OK</v>
      </c>
    </row>
    <row r="29" customFormat="false" ht="15" hidden="false" customHeight="false" outlineLevel="0" collapsed="false">
      <c r="A29" s="4" t="s">
        <v>94</v>
      </c>
      <c r="B29" s="4" t="s">
        <v>95</v>
      </c>
      <c r="C29" s="4" t="n">
        <v>9</v>
      </c>
      <c r="D29" s="11" t="n">
        <v>8000228010.3171</v>
      </c>
      <c r="E29" s="16" t="n">
        <f aca="false">KPIs!K7</f>
        <v>8000228010.3171</v>
      </c>
      <c r="F29" s="26" t="n">
        <f aca="false">IF(OR(D29="n/a",E29="n/a"),"",E29-D29)</f>
        <v>0</v>
      </c>
      <c r="G29" s="22" t="str">
        <f aca="false">IF(AND(D29="n/a",E29="n/a"),"OK",IF(OR(D29="n/a",E29="n/a"),"Diferente",IF(ABS(E29-D29)&lt;=Premissas!$B$19*MAX(1,ABS(D29)),"OK","Diferente")))</f>
        <v>OK</v>
      </c>
    </row>
    <row r="30" customFormat="false" ht="15" hidden="false" customHeight="false" outlineLevel="0" collapsed="false">
      <c r="A30" s="4" t="s">
        <v>94</v>
      </c>
      <c r="B30" s="4" t="s">
        <v>95</v>
      </c>
      <c r="C30" s="4" t="n">
        <v>10</v>
      </c>
      <c r="D30" s="11" t="n">
        <v>8529060667.71325</v>
      </c>
      <c r="E30" s="16" t="n">
        <f aca="false">KPIs!L7</f>
        <v>8529060667.71325</v>
      </c>
      <c r="F30" s="26" t="n">
        <f aca="false">IF(OR(D30="n/a",E30="n/a"),"",E30-D30)</f>
        <v>0</v>
      </c>
      <c r="G30" s="22" t="str">
        <f aca="false">IF(AND(D30="n/a",E30="n/a"),"OK",IF(OR(D30="n/a",E30="n/a"),"Diferente",IF(ABS(E30-D30)&lt;=Premissas!$B$19*MAX(1,ABS(D30)),"OK","Diferente")))</f>
        <v>OK</v>
      </c>
    </row>
    <row r="31" customFormat="false" ht="15" hidden="false" customHeight="false" outlineLevel="0" collapsed="false">
      <c r="A31" s="4" t="s">
        <v>94</v>
      </c>
      <c r="B31" s="4" t="s">
        <v>95</v>
      </c>
      <c r="C31" s="4" t="n">
        <v>11</v>
      </c>
      <c r="D31" s="11" t="n">
        <v>9072623277.49371</v>
      </c>
      <c r="E31" s="16" t="n">
        <f aca="false">KPIs!M7</f>
        <v>9072623277.49371</v>
      </c>
      <c r="F31" s="26" t="n">
        <f aca="false">IF(OR(D31="n/a",E31="n/a"),"",E31-D31)</f>
        <v>0</v>
      </c>
      <c r="G31" s="22" t="str">
        <f aca="false">IF(AND(D31="n/a",E31="n/a"),"OK",IF(OR(D31="n/a",E31="n/a"),"Diferente",IF(ABS(E31-D31)&lt;=Premissas!$B$19*MAX(1,ABS(D31)),"OK","Diferente")))</f>
        <v>OK</v>
      </c>
    </row>
    <row r="32" customFormat="false" ht="15" hidden="false" customHeight="false" outlineLevel="0" collapsed="false">
      <c r="A32" s="4" t="s">
        <v>94</v>
      </c>
      <c r="B32" s="4" t="s">
        <v>95</v>
      </c>
      <c r="C32" s="4" t="n">
        <v>12</v>
      </c>
      <c r="D32" s="11" t="n">
        <v>11165771907.9767</v>
      </c>
      <c r="E32" s="16" t="n">
        <f aca="false">KPIs!N7</f>
        <v>11165771907.9767</v>
      </c>
      <c r="F32" s="26" t="n">
        <f aca="false">IF(OR(D32="n/a",E32="n/a"),"",E32-D32)</f>
        <v>0</v>
      </c>
      <c r="G32" s="22" t="str">
        <f aca="false">IF(AND(D32="n/a",E32="n/a"),"OK",IF(OR(D32="n/a",E32="n/a"),"Diferente",IF(ABS(E32-D32)&lt;=Premissas!$B$19*MAX(1,ABS(D32)),"OK","Diferente")))</f>
        <v>OK</v>
      </c>
    </row>
    <row r="33" customFormat="false" ht="15" hidden="false" customHeight="false" outlineLevel="0" collapsed="false">
      <c r="A33" s="4" t="s">
        <v>96</v>
      </c>
      <c r="B33" s="4" t="s">
        <v>97</v>
      </c>
      <c r="C33" s="4" t="n">
        <v>1</v>
      </c>
      <c r="D33" s="11" t="n">
        <v>1361164977.97289</v>
      </c>
      <c r="E33" s="16" t="n">
        <f aca="false">KPIs!C8</f>
        <v>1361164977.97289</v>
      </c>
      <c r="F33" s="26" t="n">
        <f aca="false">IF(OR(D33="n/a",E33="n/a"),"",E33-D33)</f>
        <v>0</v>
      </c>
      <c r="G33" s="22" t="str">
        <f aca="false">IF(AND(D33="n/a",E33="n/a"),"OK",IF(OR(D33="n/a",E33="n/a"),"Diferente",IF(ABS(E33-D33)&lt;=Premissas!$B$19*MAX(1,ABS(D33)),"OK","Diferente")))</f>
        <v>OK</v>
      </c>
    </row>
    <row r="34" customFormat="false" ht="15" hidden="false" customHeight="false" outlineLevel="0" collapsed="false">
      <c r="A34" s="4" t="s">
        <v>96</v>
      </c>
      <c r="B34" s="4" t="s">
        <v>97</v>
      </c>
      <c r="C34" s="4" t="n">
        <v>2</v>
      </c>
      <c r="D34" s="11" t="n">
        <v>1333291234.71079</v>
      </c>
      <c r="E34" s="16" t="n">
        <f aca="false">KPIs!D8</f>
        <v>1333291234.71079</v>
      </c>
      <c r="F34" s="26" t="n">
        <f aca="false">IF(OR(D34="n/a",E34="n/a"),"",E34-D34)</f>
        <v>0</v>
      </c>
      <c r="G34" s="22" t="str">
        <f aca="false">IF(AND(D34="n/a",E34="n/a"),"OK",IF(OR(D34="n/a",E34="n/a"),"Diferente",IF(ABS(E34-D34)&lt;=Premissas!$B$19*MAX(1,ABS(D34)),"OK","Diferente")))</f>
        <v>OK</v>
      </c>
    </row>
    <row r="35" customFormat="false" ht="15" hidden="false" customHeight="false" outlineLevel="0" collapsed="false">
      <c r="A35" s="4" t="s">
        <v>96</v>
      </c>
      <c r="B35" s="4" t="s">
        <v>97</v>
      </c>
      <c r="C35" s="4" t="n">
        <v>3</v>
      </c>
      <c r="D35" s="11" t="n">
        <v>1232952687.66395</v>
      </c>
      <c r="E35" s="16" t="n">
        <f aca="false">KPIs!E8</f>
        <v>1232952687.66395</v>
      </c>
      <c r="F35" s="26" t="n">
        <f aca="false">IF(OR(D35="n/a",E35="n/a"),"",E35-D35)</f>
        <v>0</v>
      </c>
      <c r="G35" s="22" t="str">
        <f aca="false">IF(AND(D35="n/a",E35="n/a"),"OK",IF(OR(D35="n/a",E35="n/a"),"Diferente",IF(ABS(E35-D35)&lt;=Premissas!$B$19*MAX(1,ABS(D35)),"OK","Diferente")))</f>
        <v>OK</v>
      </c>
    </row>
    <row r="36" customFormat="false" ht="15" hidden="false" customHeight="false" outlineLevel="0" collapsed="false">
      <c r="A36" s="4" t="s">
        <v>96</v>
      </c>
      <c r="B36" s="4" t="s">
        <v>97</v>
      </c>
      <c r="C36" s="4" t="n">
        <v>4</v>
      </c>
      <c r="D36" s="11" t="n">
        <v>1236163367.29018</v>
      </c>
      <c r="E36" s="16" t="n">
        <f aca="false">KPIs!F8</f>
        <v>1236163367.29018</v>
      </c>
      <c r="F36" s="26" t="n">
        <f aca="false">IF(OR(D36="n/a",E36="n/a"),"",E36-D36)</f>
        <v>0</v>
      </c>
      <c r="G36" s="22" t="str">
        <f aca="false">IF(AND(D36="n/a",E36="n/a"),"OK",IF(OR(D36="n/a",E36="n/a"),"Diferente",IF(ABS(E36-D36)&lt;=Premissas!$B$19*MAX(1,ABS(D36)),"OK","Diferente")))</f>
        <v>OK</v>
      </c>
    </row>
    <row r="37" customFormat="false" ht="15" hidden="false" customHeight="false" outlineLevel="0" collapsed="false">
      <c r="A37" s="4" t="s">
        <v>96</v>
      </c>
      <c r="B37" s="4" t="s">
        <v>97</v>
      </c>
      <c r="C37" s="4" t="n">
        <v>5</v>
      </c>
      <c r="D37" s="11" t="n">
        <v>1127880696.546</v>
      </c>
      <c r="E37" s="16" t="n">
        <f aca="false">KPIs!G8</f>
        <v>1127880696.546</v>
      </c>
      <c r="F37" s="26" t="n">
        <f aca="false">IF(OR(D37="n/a",E37="n/a"),"",E37-D37)</f>
        <v>0</v>
      </c>
      <c r="G37" s="22" t="str">
        <f aca="false">IF(AND(D37="n/a",E37="n/a"),"OK",IF(OR(D37="n/a",E37="n/a"),"Diferente",IF(ABS(E37-D37)&lt;=Premissas!$B$19*MAX(1,ABS(D37)),"OK","Diferente")))</f>
        <v>OK</v>
      </c>
    </row>
    <row r="38" customFormat="false" ht="15" hidden="false" customHeight="false" outlineLevel="0" collapsed="false">
      <c r="A38" s="4" t="s">
        <v>96</v>
      </c>
      <c r="B38" s="4" t="s">
        <v>97</v>
      </c>
      <c r="C38" s="4" t="n">
        <v>6</v>
      </c>
      <c r="D38" s="11" t="n">
        <v>1140221929.44043</v>
      </c>
      <c r="E38" s="16" t="n">
        <f aca="false">KPIs!H8</f>
        <v>1140221929.44043</v>
      </c>
      <c r="F38" s="26" t="n">
        <f aca="false">IF(OR(D38="n/a",E38="n/a"),"",E38-D38)</f>
        <v>0</v>
      </c>
      <c r="G38" s="22" t="str">
        <f aca="false">IF(AND(D38="n/a",E38="n/a"),"OK",IF(OR(D38="n/a",E38="n/a"),"Diferente",IF(ABS(E38-D38)&lt;=Premissas!$B$19*MAX(1,ABS(D38)),"OK","Diferente")))</f>
        <v>OK</v>
      </c>
    </row>
    <row r="39" customFormat="false" ht="15" hidden="false" customHeight="false" outlineLevel="0" collapsed="false">
      <c r="A39" s="4" t="s">
        <v>96</v>
      </c>
      <c r="B39" s="4" t="s">
        <v>97</v>
      </c>
      <c r="C39" s="4" t="n">
        <v>7</v>
      </c>
      <c r="D39" s="11" t="n">
        <v>1269191986.58661</v>
      </c>
      <c r="E39" s="16" t="n">
        <f aca="false">KPIs!I8</f>
        <v>1269191986.58661</v>
      </c>
      <c r="F39" s="26" t="n">
        <f aca="false">IF(OR(D39="n/a",E39="n/a"),"",E39-D39)</f>
        <v>0</v>
      </c>
      <c r="G39" s="22" t="str">
        <f aca="false">IF(AND(D39="n/a",E39="n/a"),"OK",IF(OR(D39="n/a",E39="n/a"),"Diferente",IF(ABS(E39-D39)&lt;=Premissas!$B$19*MAX(1,ABS(D39)),"OK","Diferente")))</f>
        <v>OK</v>
      </c>
    </row>
    <row r="40" customFormat="false" ht="15" hidden="false" customHeight="false" outlineLevel="0" collapsed="false">
      <c r="A40" s="4" t="s">
        <v>96</v>
      </c>
      <c r="B40" s="4" t="s">
        <v>97</v>
      </c>
      <c r="C40" s="4" t="n">
        <v>8</v>
      </c>
      <c r="D40" s="11" t="n">
        <v>1342629109.83207</v>
      </c>
      <c r="E40" s="16" t="n">
        <f aca="false">KPIs!J8</f>
        <v>1342629109.83207</v>
      </c>
      <c r="F40" s="26" t="n">
        <f aca="false">IF(OR(D40="n/a",E40="n/a"),"",E40-D40)</f>
        <v>0</v>
      </c>
      <c r="G40" s="22" t="str">
        <f aca="false">IF(AND(D40="n/a",E40="n/a"),"OK",IF(OR(D40="n/a",E40="n/a"),"Diferente",IF(ABS(E40-D40)&lt;=Premissas!$B$19*MAX(1,ABS(D40)),"OK","Diferente")))</f>
        <v>OK</v>
      </c>
    </row>
    <row r="41" customFormat="false" ht="15" hidden="false" customHeight="false" outlineLevel="0" collapsed="false">
      <c r="A41" s="4" t="s">
        <v>96</v>
      </c>
      <c r="B41" s="4" t="s">
        <v>97</v>
      </c>
      <c r="C41" s="4" t="n">
        <v>9</v>
      </c>
      <c r="D41" s="11" t="n">
        <v>1412146278.23768</v>
      </c>
      <c r="E41" s="16" t="n">
        <f aca="false">KPIs!K8</f>
        <v>1412146278.23768</v>
      </c>
      <c r="F41" s="26" t="n">
        <f aca="false">IF(OR(D41="n/a",E41="n/a"),"",E41-D41)</f>
        <v>0</v>
      </c>
      <c r="G41" s="22" t="str">
        <f aca="false">IF(AND(D41="n/a",E41="n/a"),"OK",IF(OR(D41="n/a",E41="n/a"),"Diferente",IF(ABS(E41-D41)&lt;=Premissas!$B$19*MAX(1,ABS(D41)),"OK","Diferente")))</f>
        <v>OK</v>
      </c>
    </row>
    <row r="42" customFormat="false" ht="15" hidden="false" customHeight="false" outlineLevel="0" collapsed="false">
      <c r="A42" s="4" t="s">
        <v>96</v>
      </c>
      <c r="B42" s="4" t="s">
        <v>97</v>
      </c>
      <c r="C42" s="4" t="n">
        <v>10</v>
      </c>
      <c r="D42" s="11" t="n">
        <v>1277249272.09179</v>
      </c>
      <c r="E42" s="16" t="n">
        <f aca="false">KPIs!L8</f>
        <v>1277249272.09179</v>
      </c>
      <c r="F42" s="26" t="n">
        <f aca="false">IF(OR(D42="n/a",E42="n/a"),"",E42-D42)</f>
        <v>0</v>
      </c>
      <c r="G42" s="22" t="str">
        <f aca="false">IF(AND(D42="n/a",E42="n/a"),"OK",IF(OR(D42="n/a",E42="n/a"),"Diferente",IF(ABS(E42-D42)&lt;=Premissas!$B$19*MAX(1,ABS(D42)),"OK","Diferente")))</f>
        <v>OK</v>
      </c>
    </row>
    <row r="43" customFormat="false" ht="15" hidden="false" customHeight="false" outlineLevel="0" collapsed="false">
      <c r="A43" s="4" t="s">
        <v>96</v>
      </c>
      <c r="B43" s="4" t="s">
        <v>97</v>
      </c>
      <c r="C43" s="4" t="n">
        <v>11</v>
      </c>
      <c r="D43" s="11" t="n">
        <v>1051992505.92302</v>
      </c>
      <c r="E43" s="16" t="n">
        <f aca="false">KPIs!M8</f>
        <v>1051992505.92302</v>
      </c>
      <c r="F43" s="26" t="n">
        <f aca="false">IF(OR(D43="n/a",E43="n/a"),"",E43-D43)</f>
        <v>0</v>
      </c>
      <c r="G43" s="22" t="str">
        <f aca="false">IF(AND(D43="n/a",E43="n/a"),"OK",IF(OR(D43="n/a",E43="n/a"),"Diferente",IF(ABS(E43-D43)&lt;=Premissas!$B$19*MAX(1,ABS(D43)),"OK","Diferente")))</f>
        <v>OK</v>
      </c>
    </row>
    <row r="44" customFormat="false" ht="15" hidden="false" customHeight="false" outlineLevel="0" collapsed="false">
      <c r="A44" s="4" t="s">
        <v>96</v>
      </c>
      <c r="B44" s="4" t="s">
        <v>97</v>
      </c>
      <c r="C44" s="4" t="n">
        <v>12</v>
      </c>
      <c r="D44" s="11" t="n">
        <v>1094296472.7523</v>
      </c>
      <c r="E44" s="16" t="n">
        <f aca="false">KPIs!N8</f>
        <v>1094296472.7523</v>
      </c>
      <c r="F44" s="26" t="n">
        <f aca="false">IF(OR(D44="n/a",E44="n/a"),"",E44-D44)</f>
        <v>0</v>
      </c>
      <c r="G44" s="22" t="str">
        <f aca="false">IF(AND(D44="n/a",E44="n/a"),"OK",IF(OR(D44="n/a",E44="n/a"),"Diferente",IF(ABS(E44-D44)&lt;=Premissas!$B$19*MAX(1,ABS(D44)),"OK","Diferente")))</f>
        <v>OK</v>
      </c>
    </row>
    <row r="45" customFormat="false" ht="15" hidden="false" customHeight="false" outlineLevel="0" collapsed="false">
      <c r="A45" s="4" t="s">
        <v>98</v>
      </c>
      <c r="B45" s="4" t="s">
        <v>99</v>
      </c>
      <c r="C45" s="4" t="n">
        <v>1</v>
      </c>
      <c r="D45" s="11" t="n">
        <v>408349493.391867</v>
      </c>
      <c r="E45" s="16" t="n">
        <f aca="false">KPIs!C9</f>
        <v>408349493.391867</v>
      </c>
      <c r="F45" s="26" t="n">
        <f aca="false">IF(OR(D45="n/a",E45="n/a"),"",E45-D45)</f>
        <v>0</v>
      </c>
      <c r="G45" s="22" t="str">
        <f aca="false">IF(AND(D45="n/a",E45="n/a"),"OK",IF(OR(D45="n/a",E45="n/a"),"Diferente",IF(ABS(E45-D45)&lt;=Premissas!$B$19*MAX(1,ABS(D45)),"OK","Diferente")))</f>
        <v>OK</v>
      </c>
    </row>
    <row r="46" customFormat="false" ht="15" hidden="false" customHeight="false" outlineLevel="0" collapsed="false">
      <c r="A46" s="4" t="s">
        <v>98</v>
      </c>
      <c r="B46" s="4" t="s">
        <v>99</v>
      </c>
      <c r="C46" s="4" t="n">
        <v>2</v>
      </c>
      <c r="D46" s="11" t="n">
        <v>399987370.413237</v>
      </c>
      <c r="E46" s="16" t="n">
        <f aca="false">KPIs!D9</f>
        <v>399987370.413237</v>
      </c>
      <c r="F46" s="26" t="n">
        <f aca="false">IF(OR(D46="n/a",E46="n/a"),"",E46-D46)</f>
        <v>0</v>
      </c>
      <c r="G46" s="22" t="str">
        <f aca="false">IF(AND(D46="n/a",E46="n/a"),"OK",IF(OR(D46="n/a",E46="n/a"),"Diferente",IF(ABS(E46-D46)&lt;=Premissas!$B$19*MAX(1,ABS(D46)),"OK","Diferente")))</f>
        <v>OK</v>
      </c>
    </row>
    <row r="47" customFormat="false" ht="15" hidden="false" customHeight="false" outlineLevel="0" collapsed="false">
      <c r="A47" s="4" t="s">
        <v>98</v>
      </c>
      <c r="B47" s="4" t="s">
        <v>99</v>
      </c>
      <c r="C47" s="4" t="n">
        <v>3</v>
      </c>
      <c r="D47" s="11" t="n">
        <v>369885806.299185</v>
      </c>
      <c r="E47" s="16" t="n">
        <f aca="false">KPIs!E9</f>
        <v>369885806.299185</v>
      </c>
      <c r="F47" s="26" t="n">
        <f aca="false">IF(OR(D47="n/a",E47="n/a"),"",E47-D47)</f>
        <v>0</v>
      </c>
      <c r="G47" s="22" t="str">
        <f aca="false">IF(AND(D47="n/a",E47="n/a"),"OK",IF(OR(D47="n/a",E47="n/a"),"Diferente",IF(ABS(E47-D47)&lt;=Premissas!$B$19*MAX(1,ABS(D47)),"OK","Diferente")))</f>
        <v>OK</v>
      </c>
    </row>
    <row r="48" customFormat="false" ht="15" hidden="false" customHeight="false" outlineLevel="0" collapsed="false">
      <c r="A48" s="4" t="s">
        <v>98</v>
      </c>
      <c r="B48" s="4" t="s">
        <v>99</v>
      </c>
      <c r="C48" s="4" t="n">
        <v>4</v>
      </c>
      <c r="D48" s="11" t="n">
        <v>370849010.187054</v>
      </c>
      <c r="E48" s="16" t="n">
        <f aca="false">KPIs!F9</f>
        <v>370849010.187054</v>
      </c>
      <c r="F48" s="26" t="n">
        <f aca="false">IF(OR(D48="n/a",E48="n/a"),"",E48-D48)</f>
        <v>0</v>
      </c>
      <c r="G48" s="22" t="str">
        <f aca="false">IF(AND(D48="n/a",E48="n/a"),"OK",IF(OR(D48="n/a",E48="n/a"),"Diferente",IF(ABS(E48-D48)&lt;=Premissas!$B$19*MAX(1,ABS(D48)),"OK","Diferente")))</f>
        <v>OK</v>
      </c>
    </row>
    <row r="49" customFormat="false" ht="15" hidden="false" customHeight="false" outlineLevel="0" collapsed="false">
      <c r="A49" s="4" t="s">
        <v>98</v>
      </c>
      <c r="B49" s="4" t="s">
        <v>99</v>
      </c>
      <c r="C49" s="4" t="n">
        <v>5</v>
      </c>
      <c r="D49" s="11" t="n">
        <v>338364208.9638</v>
      </c>
      <c r="E49" s="16" t="n">
        <f aca="false">KPIs!G9</f>
        <v>338364208.9638</v>
      </c>
      <c r="F49" s="26" t="n">
        <f aca="false">IF(OR(D49="n/a",E49="n/a"),"",E49-D49)</f>
        <v>0</v>
      </c>
      <c r="G49" s="22" t="str">
        <f aca="false">IF(AND(D49="n/a",E49="n/a"),"OK",IF(OR(D49="n/a",E49="n/a"),"Diferente",IF(ABS(E49-D49)&lt;=Premissas!$B$19*MAX(1,ABS(D49)),"OK","Diferente")))</f>
        <v>OK</v>
      </c>
    </row>
    <row r="50" customFormat="false" ht="15" hidden="false" customHeight="false" outlineLevel="0" collapsed="false">
      <c r="A50" s="4" t="s">
        <v>98</v>
      </c>
      <c r="B50" s="4" t="s">
        <v>99</v>
      </c>
      <c r="C50" s="4" t="n">
        <v>6</v>
      </c>
      <c r="D50" s="11" t="n">
        <v>342066578.832129</v>
      </c>
      <c r="E50" s="16" t="n">
        <f aca="false">KPIs!H9</f>
        <v>342066578.832129</v>
      </c>
      <c r="F50" s="26" t="n">
        <f aca="false">IF(OR(D50="n/a",E50="n/a"),"",E50-D50)</f>
        <v>0</v>
      </c>
      <c r="G50" s="22" t="str">
        <f aca="false">IF(AND(D50="n/a",E50="n/a"),"OK",IF(OR(D50="n/a",E50="n/a"),"Diferente",IF(ABS(E50-D50)&lt;=Premissas!$B$19*MAX(1,ABS(D50)),"OK","Diferente")))</f>
        <v>OK</v>
      </c>
    </row>
    <row r="51" customFormat="false" ht="15" hidden="false" customHeight="false" outlineLevel="0" collapsed="false">
      <c r="A51" s="4" t="s">
        <v>98</v>
      </c>
      <c r="B51" s="4" t="s">
        <v>99</v>
      </c>
      <c r="C51" s="4" t="n">
        <v>7</v>
      </c>
      <c r="D51" s="11" t="n">
        <v>380757595.975983</v>
      </c>
      <c r="E51" s="16" t="n">
        <f aca="false">KPIs!I9</f>
        <v>380757595.975983</v>
      </c>
      <c r="F51" s="26" t="n">
        <f aca="false">IF(OR(D51="n/a",E51="n/a"),"",E51-D51)</f>
        <v>0</v>
      </c>
      <c r="G51" s="22" t="str">
        <f aca="false">IF(AND(D51="n/a",E51="n/a"),"OK",IF(OR(D51="n/a",E51="n/a"),"Diferente",IF(ABS(E51-D51)&lt;=Premissas!$B$19*MAX(1,ABS(D51)),"OK","Diferente")))</f>
        <v>OK</v>
      </c>
    </row>
    <row r="52" customFormat="false" ht="15" hidden="false" customHeight="false" outlineLevel="0" collapsed="false">
      <c r="A52" s="4" t="s">
        <v>98</v>
      </c>
      <c r="B52" s="4" t="s">
        <v>99</v>
      </c>
      <c r="C52" s="4" t="n">
        <v>8</v>
      </c>
      <c r="D52" s="11" t="n">
        <v>402788732.949621</v>
      </c>
      <c r="E52" s="16" t="n">
        <f aca="false">KPIs!J9</f>
        <v>402788732.949621</v>
      </c>
      <c r="F52" s="26" t="n">
        <f aca="false">IF(OR(D52="n/a",E52="n/a"),"",E52-D52)</f>
        <v>0</v>
      </c>
      <c r="G52" s="22" t="str">
        <f aca="false">IF(AND(D52="n/a",E52="n/a"),"OK",IF(OR(D52="n/a",E52="n/a"),"Diferente",IF(ABS(E52-D52)&lt;=Premissas!$B$19*MAX(1,ABS(D52)),"OK","Diferente")))</f>
        <v>OK</v>
      </c>
    </row>
    <row r="53" customFormat="false" ht="15" hidden="false" customHeight="false" outlineLevel="0" collapsed="false">
      <c r="A53" s="4" t="s">
        <v>98</v>
      </c>
      <c r="B53" s="4" t="s">
        <v>99</v>
      </c>
      <c r="C53" s="4" t="n">
        <v>9</v>
      </c>
      <c r="D53" s="11" t="n">
        <v>423643883.471304</v>
      </c>
      <c r="E53" s="16" t="n">
        <f aca="false">KPIs!K9</f>
        <v>423643883.471304</v>
      </c>
      <c r="F53" s="26" t="n">
        <f aca="false">IF(OR(D53="n/a",E53="n/a"),"",E53-D53)</f>
        <v>0</v>
      </c>
      <c r="G53" s="22" t="str">
        <f aca="false">IF(AND(D53="n/a",E53="n/a"),"OK",IF(OR(D53="n/a",E53="n/a"),"Diferente",IF(ABS(E53-D53)&lt;=Premissas!$B$19*MAX(1,ABS(D53)),"OK","Diferente")))</f>
        <v>OK</v>
      </c>
    </row>
    <row r="54" customFormat="false" ht="15" hidden="false" customHeight="false" outlineLevel="0" collapsed="false">
      <c r="A54" s="4" t="s">
        <v>98</v>
      </c>
      <c r="B54" s="4" t="s">
        <v>99</v>
      </c>
      <c r="C54" s="4" t="n">
        <v>10</v>
      </c>
      <c r="D54" s="11" t="n">
        <v>383174781.627537</v>
      </c>
      <c r="E54" s="16" t="n">
        <f aca="false">KPIs!L9</f>
        <v>383174781.627537</v>
      </c>
      <c r="F54" s="26" t="n">
        <f aca="false">IF(OR(D54="n/a",E54="n/a"),"",E54-D54)</f>
        <v>0</v>
      </c>
      <c r="G54" s="22" t="str">
        <f aca="false">IF(AND(D54="n/a",E54="n/a"),"OK",IF(OR(D54="n/a",E54="n/a"),"Diferente",IF(ABS(E54-D54)&lt;=Premissas!$B$19*MAX(1,ABS(D54)),"OK","Diferente")))</f>
        <v>OK</v>
      </c>
    </row>
    <row r="55" customFormat="false" ht="15" hidden="false" customHeight="false" outlineLevel="0" collapsed="false">
      <c r="A55" s="4" t="s">
        <v>98</v>
      </c>
      <c r="B55" s="4" t="s">
        <v>99</v>
      </c>
      <c r="C55" s="4" t="n">
        <v>11</v>
      </c>
      <c r="D55" s="11" t="n">
        <v>315597751.776906</v>
      </c>
      <c r="E55" s="16" t="n">
        <f aca="false">KPIs!M9</f>
        <v>315597751.776906</v>
      </c>
      <c r="F55" s="26" t="n">
        <f aca="false">IF(OR(D55="n/a",E55="n/a"),"",E55-D55)</f>
        <v>0</v>
      </c>
      <c r="G55" s="22" t="str">
        <f aca="false">IF(AND(D55="n/a",E55="n/a"),"OK",IF(OR(D55="n/a",E55="n/a"),"Diferente",IF(ABS(E55-D55)&lt;=Premissas!$B$19*MAX(1,ABS(D55)),"OK","Diferente")))</f>
        <v>OK</v>
      </c>
    </row>
    <row r="56" customFormat="false" ht="15" hidden="false" customHeight="false" outlineLevel="0" collapsed="false">
      <c r="A56" s="4" t="s">
        <v>98</v>
      </c>
      <c r="B56" s="4" t="s">
        <v>99</v>
      </c>
      <c r="C56" s="4" t="n">
        <v>12</v>
      </c>
      <c r="D56" s="11" t="n">
        <v>328288941.82569</v>
      </c>
      <c r="E56" s="16" t="n">
        <f aca="false">KPIs!N9</f>
        <v>328288941.82569</v>
      </c>
      <c r="F56" s="26" t="n">
        <f aca="false">IF(OR(D56="n/a",E56="n/a"),"",E56-D56)</f>
        <v>0</v>
      </c>
      <c r="G56" s="22" t="str">
        <f aca="false">IF(AND(D56="n/a",E56="n/a"),"OK",IF(OR(D56="n/a",E56="n/a"),"Diferente",IF(ABS(E56-D56)&lt;=Premissas!$B$19*MAX(1,ABS(D56)),"OK","Diferente")))</f>
        <v>OK</v>
      </c>
    </row>
    <row r="57" customFormat="false" ht="15" hidden="false" customHeight="false" outlineLevel="0" collapsed="false">
      <c r="A57" s="4" t="s">
        <v>100</v>
      </c>
      <c r="B57" s="4" t="s">
        <v>101</v>
      </c>
      <c r="C57" s="4" t="n">
        <v>1</v>
      </c>
      <c r="D57" s="11" t="n">
        <v>5842915607.06442</v>
      </c>
      <c r="E57" s="16" t="n">
        <f aca="false">KPIs!C10</f>
        <v>5842915607.06442</v>
      </c>
      <c r="F57" s="26" t="n">
        <f aca="false">IF(OR(D57="n/a",E57="n/a"),"",E57-D57)</f>
        <v>0</v>
      </c>
      <c r="G57" s="22" t="str">
        <f aca="false">IF(AND(D57="n/a",E57="n/a"),"OK",IF(OR(D57="n/a",E57="n/a"),"Diferente",IF(ABS(E57-D57)&lt;=Premissas!$B$19*MAX(1,ABS(D57)),"OK","Diferente")))</f>
        <v>OK</v>
      </c>
    </row>
    <row r="58" customFormat="false" ht="15" hidden="false" customHeight="false" outlineLevel="0" collapsed="false">
      <c r="A58" s="4" t="s">
        <v>100</v>
      </c>
      <c r="B58" s="4" t="s">
        <v>101</v>
      </c>
      <c r="C58" s="4" t="n">
        <v>2</v>
      </c>
      <c r="D58" s="11" t="n">
        <v>5211130953.37686</v>
      </c>
      <c r="E58" s="16" t="n">
        <f aca="false">KPIs!D10</f>
        <v>5211130953.37686</v>
      </c>
      <c r="F58" s="26" t="n">
        <f aca="false">IF(OR(D58="n/a",E58="n/a"),"",E58-D58)</f>
        <v>0</v>
      </c>
      <c r="G58" s="22" t="str">
        <f aca="false">IF(AND(D58="n/a",E58="n/a"),"OK",IF(OR(D58="n/a",E58="n/a"),"Diferente",IF(ABS(E58-D58)&lt;=Premissas!$B$19*MAX(1,ABS(D58)),"OK","Diferente")))</f>
        <v>OK</v>
      </c>
    </row>
    <row r="59" customFormat="false" ht="15" hidden="false" customHeight="false" outlineLevel="0" collapsed="false">
      <c r="A59" s="4" t="s">
        <v>100</v>
      </c>
      <c r="B59" s="4" t="s">
        <v>101</v>
      </c>
      <c r="C59" s="4" t="n">
        <v>3</v>
      </c>
      <c r="D59" s="11" t="n">
        <v>5351695125.70961</v>
      </c>
      <c r="E59" s="16" t="n">
        <f aca="false">KPIs!E10</f>
        <v>5351695125.70961</v>
      </c>
      <c r="F59" s="26" t="n">
        <f aca="false">IF(OR(D59="n/a",E59="n/a"),"",E59-D59)</f>
        <v>0</v>
      </c>
      <c r="G59" s="22" t="str">
        <f aca="false">IF(AND(D59="n/a",E59="n/a"),"OK",IF(OR(D59="n/a",E59="n/a"),"Diferente",IF(ABS(E59-D59)&lt;=Premissas!$B$19*MAX(1,ABS(D59)),"OK","Diferente")))</f>
        <v>OK</v>
      </c>
    </row>
    <row r="60" customFormat="false" ht="15" hidden="false" customHeight="false" outlineLevel="0" collapsed="false">
      <c r="A60" s="4" t="s">
        <v>100</v>
      </c>
      <c r="B60" s="4" t="s">
        <v>101</v>
      </c>
      <c r="C60" s="4" t="n">
        <v>4</v>
      </c>
      <c r="D60" s="11" t="n">
        <v>5578321250.68379</v>
      </c>
      <c r="E60" s="16" t="n">
        <f aca="false">KPIs!F10</f>
        <v>5578321250.68379</v>
      </c>
      <c r="F60" s="26" t="n">
        <f aca="false">IF(OR(D60="n/a",E60="n/a"),"",E60-D60)</f>
        <v>0</v>
      </c>
      <c r="G60" s="22" t="str">
        <f aca="false">IF(AND(D60="n/a",E60="n/a"),"OK",IF(OR(D60="n/a",E60="n/a"),"Diferente",IF(ABS(E60-D60)&lt;=Premissas!$B$19*MAX(1,ABS(D60)),"OK","Diferente")))</f>
        <v>OK</v>
      </c>
    </row>
    <row r="61" customFormat="false" ht="15" hidden="false" customHeight="false" outlineLevel="0" collapsed="false">
      <c r="A61" s="4" t="s">
        <v>100</v>
      </c>
      <c r="B61" s="4" t="s">
        <v>101</v>
      </c>
      <c r="C61" s="4" t="n">
        <v>5</v>
      </c>
      <c r="D61" s="11" t="n">
        <v>5917101385.56514</v>
      </c>
      <c r="E61" s="16" t="n">
        <f aca="false">KPIs!G10</f>
        <v>5917101385.56514</v>
      </c>
      <c r="F61" s="26" t="n">
        <f aca="false">IF(OR(D61="n/a",E61="n/a"),"",E61-D61)</f>
        <v>0</v>
      </c>
      <c r="G61" s="22" t="str">
        <f aca="false">IF(AND(D61="n/a",E61="n/a"),"OK",IF(OR(D61="n/a",E61="n/a"),"Diferente",IF(ABS(E61-D61)&lt;=Premissas!$B$19*MAX(1,ABS(D61)),"OK","Diferente")))</f>
        <v>OK</v>
      </c>
    </row>
    <row r="62" customFormat="false" ht="15" hidden="false" customHeight="false" outlineLevel="0" collapsed="false">
      <c r="A62" s="4" t="s">
        <v>100</v>
      </c>
      <c r="B62" s="4" t="s">
        <v>101</v>
      </c>
      <c r="C62" s="4" t="n">
        <v>6</v>
      </c>
      <c r="D62" s="11" t="n">
        <v>6302652522.20889</v>
      </c>
      <c r="E62" s="16" t="n">
        <f aca="false">KPIs!H10</f>
        <v>6302652522.20889</v>
      </c>
      <c r="F62" s="26" t="n">
        <f aca="false">IF(OR(D62="n/a",E62="n/a"),"",E62-D62)</f>
        <v>0</v>
      </c>
      <c r="G62" s="22" t="str">
        <f aca="false">IF(AND(D62="n/a",E62="n/a"),"OK",IF(OR(D62="n/a",E62="n/a"),"Diferente",IF(ABS(E62-D62)&lt;=Premissas!$B$19*MAX(1,ABS(D62)),"OK","Diferente")))</f>
        <v>OK</v>
      </c>
    </row>
    <row r="63" customFormat="false" ht="15" hidden="false" customHeight="false" outlineLevel="0" collapsed="false">
      <c r="A63" s="4" t="s">
        <v>100</v>
      </c>
      <c r="B63" s="4" t="s">
        <v>101</v>
      </c>
      <c r="C63" s="4" t="n">
        <v>7</v>
      </c>
      <c r="D63" s="11" t="n">
        <v>6672419539.83607</v>
      </c>
      <c r="E63" s="16" t="n">
        <f aca="false">KPIs!I10</f>
        <v>6672419539.83607</v>
      </c>
      <c r="F63" s="26" t="n">
        <f aca="false">IF(OR(D63="n/a",E63="n/a"),"",E63-D63)</f>
        <v>0</v>
      </c>
      <c r="G63" s="22" t="str">
        <f aca="false">IF(AND(D63="n/a",E63="n/a"),"OK",IF(OR(D63="n/a",E63="n/a"),"Diferente",IF(ABS(E63-D63)&lt;=Premissas!$B$19*MAX(1,ABS(D63)),"OK","Diferente")))</f>
        <v>OK</v>
      </c>
    </row>
    <row r="64" customFormat="false" ht="15" hidden="false" customHeight="false" outlineLevel="0" collapsed="false">
      <c r="A64" s="4" t="s">
        <v>100</v>
      </c>
      <c r="B64" s="4" t="s">
        <v>101</v>
      </c>
      <c r="C64" s="4" t="n">
        <v>8</v>
      </c>
      <c r="D64" s="11" t="n">
        <v>7133211844.82529</v>
      </c>
      <c r="E64" s="16" t="n">
        <f aca="false">KPIs!J10</f>
        <v>7133211844.82529</v>
      </c>
      <c r="F64" s="26" t="n">
        <f aca="false">IF(OR(D64="n/a",E64="n/a"),"",E64-D64)</f>
        <v>0</v>
      </c>
      <c r="G64" s="22" t="str">
        <f aca="false">IF(AND(D64="n/a",E64="n/a"),"OK",IF(OR(D64="n/a",E64="n/a"),"Diferente",IF(ABS(E64-D64)&lt;=Premissas!$B$19*MAX(1,ABS(D64)),"OK","Diferente")))</f>
        <v>OK</v>
      </c>
    </row>
    <row r="65" customFormat="false" ht="15" hidden="false" customHeight="false" outlineLevel="0" collapsed="false">
      <c r="A65" s="4" t="s">
        <v>100</v>
      </c>
      <c r="B65" s="4" t="s">
        <v>101</v>
      </c>
      <c r="C65" s="4" t="n">
        <v>9</v>
      </c>
      <c r="D65" s="11" t="n">
        <v>7576584126.8458</v>
      </c>
      <c r="E65" s="16" t="n">
        <f aca="false">KPIs!K10</f>
        <v>7576584126.8458</v>
      </c>
      <c r="F65" s="26" t="n">
        <f aca="false">IF(OR(D65="n/a",E65="n/a"),"",E65-D65)</f>
        <v>0</v>
      </c>
      <c r="G65" s="22" t="str">
        <f aca="false">IF(AND(D65="n/a",E65="n/a"),"OK",IF(OR(D65="n/a",E65="n/a"),"Diferente",IF(ABS(E65-D65)&lt;=Premissas!$B$19*MAX(1,ABS(D65)),"OK","Diferente")))</f>
        <v>OK</v>
      </c>
    </row>
    <row r="66" customFormat="false" ht="15" hidden="false" customHeight="false" outlineLevel="0" collapsed="false">
      <c r="A66" s="4" t="s">
        <v>100</v>
      </c>
      <c r="B66" s="4" t="s">
        <v>101</v>
      </c>
      <c r="C66" s="4" t="n">
        <v>10</v>
      </c>
      <c r="D66" s="11" t="n">
        <v>8145885886.08571</v>
      </c>
      <c r="E66" s="16" t="n">
        <f aca="false">KPIs!L10</f>
        <v>8145885886.08571</v>
      </c>
      <c r="F66" s="26" t="n">
        <f aca="false">IF(OR(D66="n/a",E66="n/a"),"",E66-D66)</f>
        <v>0</v>
      </c>
      <c r="G66" s="22" t="str">
        <f aca="false">IF(AND(D66="n/a",E66="n/a"),"OK",IF(OR(D66="n/a",E66="n/a"),"Diferente",IF(ABS(E66-D66)&lt;=Premissas!$B$19*MAX(1,ABS(D66)),"OK","Diferente")))</f>
        <v>OK</v>
      </c>
    </row>
    <row r="67" customFormat="false" ht="15" hidden="false" customHeight="false" outlineLevel="0" collapsed="false">
      <c r="A67" s="4" t="s">
        <v>100</v>
      </c>
      <c r="B67" s="4" t="s">
        <v>101</v>
      </c>
      <c r="C67" s="4" t="n">
        <v>11</v>
      </c>
      <c r="D67" s="11" t="n">
        <v>8757025525.71681</v>
      </c>
      <c r="E67" s="16" t="n">
        <f aca="false">KPIs!M10</f>
        <v>8757025525.71681</v>
      </c>
      <c r="F67" s="26" t="n">
        <f aca="false">IF(OR(D67="n/a",E67="n/a"),"",E67-D67)</f>
        <v>0</v>
      </c>
      <c r="G67" s="22" t="str">
        <f aca="false">IF(AND(D67="n/a",E67="n/a"),"OK",IF(OR(D67="n/a",E67="n/a"),"Diferente",IF(ABS(E67-D67)&lt;=Premissas!$B$19*MAX(1,ABS(D67)),"OK","Diferente")))</f>
        <v>OK</v>
      </c>
    </row>
    <row r="68" customFormat="false" ht="15" hidden="false" customHeight="false" outlineLevel="0" collapsed="false">
      <c r="A68" s="4" t="s">
        <v>100</v>
      </c>
      <c r="B68" s="4" t="s">
        <v>101</v>
      </c>
      <c r="C68" s="4" t="n">
        <v>12</v>
      </c>
      <c r="D68" s="11" t="n">
        <v>10837482966.151</v>
      </c>
      <c r="E68" s="16" t="n">
        <f aca="false">KPIs!N10</f>
        <v>10837482966.151</v>
      </c>
      <c r="F68" s="26" t="n">
        <f aca="false">IF(OR(D68="n/a",E68="n/a"),"",E68-D68)</f>
        <v>0</v>
      </c>
      <c r="G68" s="22" t="str">
        <f aca="false">IF(AND(D68="n/a",E68="n/a"),"OK",IF(OR(D68="n/a",E68="n/a"),"Diferente",IF(ABS(E68-D68)&lt;=Premissas!$B$19*MAX(1,ABS(D68)),"OK","Diferente")))</f>
        <v>OK</v>
      </c>
    </row>
    <row r="69" customFormat="false" ht="15" hidden="false" customHeight="false" outlineLevel="0" collapsed="false">
      <c r="A69" s="4" t="s">
        <v>102</v>
      </c>
      <c r="B69" s="4" t="s">
        <v>103</v>
      </c>
      <c r="C69" s="4" t="n">
        <v>1</v>
      </c>
      <c r="D69" s="27" t="n">
        <v>0.934677303421021</v>
      </c>
      <c r="E69" s="7" t="n">
        <f aca="false">KPIs!C11</f>
        <v>0.934677303421021</v>
      </c>
      <c r="F69" s="26" t="n">
        <f aca="false">IF(OR(D69="n/a",E69="n/a"),"",E69-D69)</f>
        <v>0</v>
      </c>
      <c r="G69" s="22" t="str">
        <f aca="false">IF(AND(D69="n/a",E69="n/a"),"OK",IF(OR(D69="n/a",E69="n/a"),"Diferente",IF(ABS(E69-D69)&lt;=Premissas!$B$19*MAX(1,ABS(D69)),"OK","Diferente")))</f>
        <v>OK</v>
      </c>
    </row>
    <row r="70" customFormat="false" ht="15" hidden="false" customHeight="false" outlineLevel="0" collapsed="false">
      <c r="A70" s="4" t="s">
        <v>102</v>
      </c>
      <c r="B70" s="4" t="s">
        <v>103</v>
      </c>
      <c r="C70" s="4" t="n">
        <v>2</v>
      </c>
      <c r="D70" s="27" t="n">
        <v>0.928715213736028</v>
      </c>
      <c r="E70" s="7" t="n">
        <f aca="false">KPIs!D11</f>
        <v>0.928715213736028</v>
      </c>
      <c r="F70" s="26" t="n">
        <f aca="false">IF(OR(D70="n/a",E70="n/a"),"",E70-D70)</f>
        <v>0</v>
      </c>
      <c r="G70" s="22" t="str">
        <f aca="false">IF(AND(D70="n/a",E70="n/a"),"OK",IF(OR(D70="n/a",E70="n/a"),"Diferente",IF(ABS(E70-D70)&lt;=Premissas!$B$19*MAX(1,ABS(D70)),"OK","Diferente")))</f>
        <v>OK</v>
      </c>
    </row>
    <row r="71" customFormat="false" ht="15" hidden="false" customHeight="false" outlineLevel="0" collapsed="false">
      <c r="A71" s="4" t="s">
        <v>102</v>
      </c>
      <c r="B71" s="4" t="s">
        <v>103</v>
      </c>
      <c r="C71" s="4" t="n">
        <v>3</v>
      </c>
      <c r="D71" s="27" t="n">
        <v>0.935352516953855</v>
      </c>
      <c r="E71" s="7" t="n">
        <f aca="false">KPIs!E11</f>
        <v>0.935352516953855</v>
      </c>
      <c r="F71" s="26" t="n">
        <f aca="false">IF(OR(D71="n/a",E71="n/a"),"",E71-D71)</f>
        <v>0</v>
      </c>
      <c r="G71" s="22" t="str">
        <f aca="false">IF(AND(D71="n/a",E71="n/a"),"OK",IF(OR(D71="n/a",E71="n/a"),"Diferente",IF(ABS(E71-D71)&lt;=Premissas!$B$19*MAX(1,ABS(D71)),"OK","Diferente")))</f>
        <v>OK</v>
      </c>
    </row>
    <row r="72" customFormat="false" ht="15" hidden="false" customHeight="false" outlineLevel="0" collapsed="false">
      <c r="A72" s="4" t="s">
        <v>102</v>
      </c>
      <c r="B72" s="4" t="s">
        <v>103</v>
      </c>
      <c r="C72" s="4" t="n">
        <v>4</v>
      </c>
      <c r="D72" s="27" t="n">
        <v>0.937663742349716</v>
      </c>
      <c r="E72" s="7" t="n">
        <f aca="false">KPIs!F11</f>
        <v>0.937663742349716</v>
      </c>
      <c r="F72" s="26" t="n">
        <f aca="false">IF(OR(D72="n/a",E72="n/a"),"",E72-D72)</f>
        <v>0</v>
      </c>
      <c r="G72" s="22" t="str">
        <f aca="false">IF(AND(D72="n/a",E72="n/a"),"OK",IF(OR(D72="n/a",E72="n/a"),"Diferente",IF(ABS(E72-D72)&lt;=Premissas!$B$19*MAX(1,ABS(D72)),"OK","Diferente")))</f>
        <v>OK</v>
      </c>
    </row>
    <row r="73" customFormat="false" ht="15" hidden="false" customHeight="false" outlineLevel="0" collapsed="false">
      <c r="A73" s="4" t="s">
        <v>102</v>
      </c>
      <c r="B73" s="4" t="s">
        <v>103</v>
      </c>
      <c r="C73" s="4" t="n">
        <v>5</v>
      </c>
      <c r="D73" s="27" t="n">
        <v>0.945909028856344</v>
      </c>
      <c r="E73" s="7" t="n">
        <f aca="false">KPIs!G11</f>
        <v>0.945909028856344</v>
      </c>
      <c r="F73" s="26" t="n">
        <f aca="false">IF(OR(D73="n/a",E73="n/a"),"",E73-D73)</f>
        <v>0</v>
      </c>
      <c r="G73" s="22" t="str">
        <f aca="false">IF(AND(D73="n/a",E73="n/a"),"OK",IF(OR(D73="n/a",E73="n/a"),"Diferente",IF(ABS(E73-D73)&lt;=Premissas!$B$19*MAX(1,ABS(D73)),"OK","Diferente")))</f>
        <v>OK</v>
      </c>
    </row>
    <row r="74" customFormat="false" ht="15" hidden="false" customHeight="false" outlineLevel="0" collapsed="false">
      <c r="A74" s="4" t="s">
        <v>102</v>
      </c>
      <c r="B74" s="4" t="s">
        <v>103</v>
      </c>
      <c r="C74" s="4" t="n">
        <v>6</v>
      </c>
      <c r="D74" s="27" t="n">
        <v>0.948520535837469</v>
      </c>
      <c r="E74" s="7" t="n">
        <f aca="false">KPIs!H11</f>
        <v>0.948520535837469</v>
      </c>
      <c r="F74" s="26" t="n">
        <f aca="false">IF(OR(D74="n/a",E74="n/a"),"",E74-D74)</f>
        <v>0</v>
      </c>
      <c r="G74" s="22" t="str">
        <f aca="false">IF(AND(D74="n/a",E74="n/a"),"OK",IF(OR(D74="n/a",E74="n/a"),"Diferente",IF(ABS(E74-D74)&lt;=Premissas!$B$19*MAX(1,ABS(D74)),"OK","Diferente")))</f>
        <v>OK</v>
      </c>
    </row>
    <row r="75" customFormat="false" ht="15" hidden="false" customHeight="false" outlineLevel="0" collapsed="false">
      <c r="A75" s="4" t="s">
        <v>102</v>
      </c>
      <c r="B75" s="4" t="s">
        <v>103</v>
      </c>
      <c r="C75" s="4" t="n">
        <v>7</v>
      </c>
      <c r="D75" s="27" t="n">
        <v>0.946016158584376</v>
      </c>
      <c r="E75" s="7" t="n">
        <f aca="false">KPIs!I11</f>
        <v>0.946016158584376</v>
      </c>
      <c r="F75" s="26" t="n">
        <f aca="false">IF(OR(D75="n/a",E75="n/a"),"",E75-D75)</f>
        <v>0</v>
      </c>
      <c r="G75" s="22" t="str">
        <f aca="false">IF(AND(D75="n/a",E75="n/a"),"OK",IF(OR(D75="n/a",E75="n/a"),"Diferente",IF(ABS(E75-D75)&lt;=Premissas!$B$19*MAX(1,ABS(D75)),"OK","Diferente")))</f>
        <v>OK</v>
      </c>
    </row>
    <row r="76" customFormat="false" ht="15" hidden="false" customHeight="false" outlineLevel="0" collapsed="false">
      <c r="A76" s="4" t="s">
        <v>102</v>
      </c>
      <c r="B76" s="4" t="s">
        <v>103</v>
      </c>
      <c r="C76" s="4" t="n">
        <v>8</v>
      </c>
      <c r="D76" s="27" t="n">
        <v>0.946551393037638</v>
      </c>
      <c r="E76" s="7" t="n">
        <f aca="false">KPIs!J11</f>
        <v>0.946551393037638</v>
      </c>
      <c r="F76" s="26" t="n">
        <f aca="false">IF(OR(D76="n/a",E76="n/a"),"",E76-D76)</f>
        <v>0</v>
      </c>
      <c r="G76" s="22" t="str">
        <f aca="false">IF(AND(D76="n/a",E76="n/a"),"OK",IF(OR(D76="n/a",E76="n/a"),"Diferente",IF(ABS(E76-D76)&lt;=Premissas!$B$19*MAX(1,ABS(D76)),"OK","Diferente")))</f>
        <v>OK</v>
      </c>
    </row>
    <row r="77" customFormat="false" ht="15" hidden="false" customHeight="false" outlineLevel="0" collapsed="false">
      <c r="A77" s="4" t="s">
        <v>102</v>
      </c>
      <c r="B77" s="4" t="s">
        <v>103</v>
      </c>
      <c r="C77" s="4" t="n">
        <v>9</v>
      </c>
      <c r="D77" s="27" t="n">
        <v>0.9470460238227</v>
      </c>
      <c r="E77" s="7" t="n">
        <f aca="false">KPIs!K11</f>
        <v>0.9470460238227</v>
      </c>
      <c r="F77" s="26" t="n">
        <f aca="false">IF(OR(D77="n/a",E77="n/a"),"",E77-D77)</f>
        <v>0</v>
      </c>
      <c r="G77" s="22" t="str">
        <f aca="false">IF(AND(D77="n/a",E77="n/a"),"OK",IF(OR(D77="n/a",E77="n/a"),"Diferente",IF(ABS(E77-D77)&lt;=Premissas!$B$19*MAX(1,ABS(D77)),"OK","Diferente")))</f>
        <v>OK</v>
      </c>
    </row>
    <row r="78" customFormat="false" ht="15" hidden="false" customHeight="false" outlineLevel="0" collapsed="false">
      <c r="A78" s="4" t="s">
        <v>102</v>
      </c>
      <c r="B78" s="4" t="s">
        <v>103</v>
      </c>
      <c r="C78" s="4" t="n">
        <v>10</v>
      </c>
      <c r="D78" s="27" t="n">
        <v>0.955074210800488</v>
      </c>
      <c r="E78" s="7" t="n">
        <f aca="false">KPIs!L11</f>
        <v>0.955074210800488</v>
      </c>
      <c r="F78" s="26" t="n">
        <f aca="false">IF(OR(D78="n/a",E78="n/a"),"",E78-D78)</f>
        <v>0</v>
      </c>
      <c r="G78" s="22" t="str">
        <f aca="false">IF(AND(D78="n/a",E78="n/a"),"OK",IF(OR(D78="n/a",E78="n/a"),"Diferente",IF(ABS(E78-D78)&lt;=Premissas!$B$19*MAX(1,ABS(D78)),"OK","Diferente")))</f>
        <v>OK</v>
      </c>
    </row>
    <row r="79" customFormat="false" ht="15" hidden="false" customHeight="false" outlineLevel="0" collapsed="false">
      <c r="A79" s="4" t="s">
        <v>102</v>
      </c>
      <c r="B79" s="4" t="s">
        <v>103</v>
      </c>
      <c r="C79" s="4" t="n">
        <v>11</v>
      </c>
      <c r="D79" s="27" t="n">
        <v>0.965214277929978</v>
      </c>
      <c r="E79" s="7" t="n">
        <f aca="false">KPIs!M11</f>
        <v>0.965214277929978</v>
      </c>
      <c r="F79" s="26" t="n">
        <f aca="false">IF(OR(D79="n/a",E79="n/a"),"",E79-D79)</f>
        <v>0</v>
      </c>
      <c r="G79" s="22" t="str">
        <f aca="false">IF(AND(D79="n/a",E79="n/a"),"OK",IF(OR(D79="n/a",E79="n/a"),"Diferente",IF(ABS(E79-D79)&lt;=Premissas!$B$19*MAX(1,ABS(D79)),"OK","Diferente")))</f>
        <v>OK</v>
      </c>
    </row>
    <row r="80" customFormat="false" ht="15" hidden="false" customHeight="false" outlineLevel="0" collapsed="false">
      <c r="A80" s="4" t="s">
        <v>102</v>
      </c>
      <c r="B80" s="4" t="s">
        <v>103</v>
      </c>
      <c r="C80" s="4" t="n">
        <v>12</v>
      </c>
      <c r="D80" s="27" t="n">
        <v>0.970598634422116</v>
      </c>
      <c r="E80" s="7" t="n">
        <f aca="false">KPIs!N11</f>
        <v>0.970598634422116</v>
      </c>
      <c r="F80" s="26" t="n">
        <f aca="false">IF(OR(D80="n/a",E80="n/a"),"",E80-D80)</f>
        <v>0</v>
      </c>
      <c r="G80" s="22" t="str">
        <f aca="false">IF(AND(D80="n/a",E80="n/a"),"OK",IF(OR(D80="n/a",E80="n/a"),"Diferente",IF(ABS(E80-D80)&lt;=Premissas!$B$19*MAX(1,ABS(D80)),"OK","Diferente")))</f>
        <v>OK</v>
      </c>
    </row>
    <row r="81" customFormat="false" ht="15" hidden="false" customHeight="false" outlineLevel="0" collapsed="false">
      <c r="A81" s="4" t="s">
        <v>104</v>
      </c>
      <c r="B81" s="4" t="s">
        <v>105</v>
      </c>
      <c r="C81" s="4" t="n">
        <v>1</v>
      </c>
      <c r="D81" s="11" t="n">
        <v>4929184523.02696</v>
      </c>
      <c r="E81" s="16" t="n">
        <f aca="false">KPIs!C12</f>
        <v>4929184523.02696</v>
      </c>
      <c r="F81" s="26" t="n">
        <f aca="false">IF(OR(D81="n/a",E81="n/a"),"",E81-D81)</f>
        <v>0</v>
      </c>
      <c r="G81" s="22" t="str">
        <f aca="false">IF(AND(D81="n/a",E81="n/a"),"OK",IF(OR(D81="n/a",E81="n/a"),"Diferente",IF(ABS(E81-D81)&lt;=Premissas!$B$19*MAX(1,ABS(D81)),"OK","Diferente")))</f>
        <v>OK</v>
      </c>
    </row>
    <row r="82" customFormat="false" ht="15" hidden="false" customHeight="false" outlineLevel="0" collapsed="false">
      <c r="A82" s="4" t="s">
        <v>104</v>
      </c>
      <c r="B82" s="4" t="s">
        <v>105</v>
      </c>
      <c r="C82" s="4" t="n">
        <v>2</v>
      </c>
      <c r="D82" s="11" t="n">
        <v>4320407124.49807</v>
      </c>
      <c r="E82" s="16" t="n">
        <f aca="false">KPIs!D12</f>
        <v>4320407124.49807</v>
      </c>
      <c r="F82" s="26" t="n">
        <f aca="false">IF(OR(D82="n/a",E82="n/a"),"",E82-D82)</f>
        <v>0</v>
      </c>
      <c r="G82" s="22" t="str">
        <f aca="false">IF(AND(D82="n/a",E82="n/a"),"OK",IF(OR(D82="n/a",E82="n/a"),"Diferente",IF(ABS(E82-D82)&lt;=Premissas!$B$19*MAX(1,ABS(D82)),"OK","Diferente")))</f>
        <v>OK</v>
      </c>
    </row>
    <row r="83" customFormat="false" ht="15" hidden="false" customHeight="false" outlineLevel="0" collapsed="false">
      <c r="A83" s="4" t="s">
        <v>104</v>
      </c>
      <c r="B83" s="4" t="s">
        <v>105</v>
      </c>
      <c r="C83" s="4" t="n">
        <v>3</v>
      </c>
      <c r="D83" s="11" t="n">
        <v>4535892646.57061</v>
      </c>
      <c r="E83" s="16" t="n">
        <f aca="false">KPIs!E12</f>
        <v>4535892646.57061</v>
      </c>
      <c r="F83" s="26" t="n">
        <f aca="false">IF(OR(D83="n/a",E83="n/a"),"",E83-D83)</f>
        <v>0</v>
      </c>
      <c r="G83" s="22" t="str">
        <f aca="false">IF(AND(D83="n/a",E83="n/a"),"OK",IF(OR(D83="n/a",E83="n/a"),"Diferente",IF(ABS(E83-D83)&lt;=Premissas!$B$19*MAX(1,ABS(D83)),"OK","Diferente")))</f>
        <v>OK</v>
      </c>
    </row>
    <row r="84" customFormat="false" ht="15" hidden="false" customHeight="false" outlineLevel="0" collapsed="false">
      <c r="A84" s="4" t="s">
        <v>104</v>
      </c>
      <c r="B84" s="4" t="s">
        <v>105</v>
      </c>
      <c r="C84" s="4" t="n">
        <v>4</v>
      </c>
      <c r="D84" s="11" t="n">
        <v>4758859185.82473</v>
      </c>
      <c r="E84" s="16" t="n">
        <f aca="false">KPIs!F12</f>
        <v>4758859185.82473</v>
      </c>
      <c r="F84" s="26" t="n">
        <f aca="false">IF(OR(D84="n/a",E84="n/a"),"",E84-D84)</f>
        <v>0</v>
      </c>
      <c r="G84" s="22" t="str">
        <f aca="false">IF(AND(D84="n/a",E84="n/a"),"OK",IF(OR(D84="n/a",E84="n/a"),"Diferente",IF(ABS(E84-D84)&lt;=Premissas!$B$19*MAX(1,ABS(D84)),"OK","Diferente")))</f>
        <v>OK</v>
      </c>
    </row>
    <row r="85" customFormat="false" ht="15" hidden="false" customHeight="false" outlineLevel="0" collapsed="false">
      <c r="A85" s="4" t="s">
        <v>104</v>
      </c>
      <c r="B85" s="4" t="s">
        <v>105</v>
      </c>
      <c r="C85" s="4" t="n">
        <v>5</v>
      </c>
      <c r="D85" s="11" t="n">
        <v>5173464825.07562</v>
      </c>
      <c r="E85" s="16" t="n">
        <f aca="false">KPIs!G12</f>
        <v>5173464825.07562</v>
      </c>
      <c r="F85" s="26" t="n">
        <f aca="false">IF(OR(D85="n/a",E85="n/a"),"",E85-D85)</f>
        <v>0</v>
      </c>
      <c r="G85" s="22" t="str">
        <f aca="false">IF(AND(D85="n/a",E85="n/a"),"OK",IF(OR(D85="n/a",E85="n/a"),"Diferente",IF(ABS(E85-D85)&lt;=Premissas!$B$19*MAX(1,ABS(D85)),"OK","Diferente")))</f>
        <v>OK</v>
      </c>
    </row>
    <row r="86" customFormat="false" ht="15" hidden="false" customHeight="false" outlineLevel="0" collapsed="false">
      <c r="A86" s="4" t="s">
        <v>104</v>
      </c>
      <c r="B86" s="4" t="s">
        <v>105</v>
      </c>
      <c r="C86" s="4" t="n">
        <v>6</v>
      </c>
      <c r="D86" s="11" t="n">
        <v>5551776751.67927</v>
      </c>
      <c r="E86" s="16" t="n">
        <f aca="false">KPIs!H12</f>
        <v>5551776751.67927</v>
      </c>
      <c r="F86" s="26" t="n">
        <f aca="false">IF(OR(D86="n/a",E86="n/a"),"",E86-D86)</f>
        <v>0</v>
      </c>
      <c r="G86" s="22" t="str">
        <f aca="false">IF(AND(D86="n/a",E86="n/a"),"OK",IF(OR(D86="n/a",E86="n/a"),"Diferente",IF(ABS(E86-D86)&lt;=Premissas!$B$19*MAX(1,ABS(D86)),"OK","Diferente")))</f>
        <v>OK</v>
      </c>
    </row>
    <row r="87" customFormat="false" ht="15" hidden="false" customHeight="false" outlineLevel="0" collapsed="false">
      <c r="A87" s="4" t="s">
        <v>104</v>
      </c>
      <c r="B87" s="4" t="s">
        <v>105</v>
      </c>
      <c r="C87" s="4" t="n">
        <v>7</v>
      </c>
      <c r="D87" s="11" t="n">
        <v>5832617827.48454</v>
      </c>
      <c r="E87" s="16" t="n">
        <f aca="false">KPIs!I12</f>
        <v>5832617827.48454</v>
      </c>
      <c r="F87" s="26" t="n">
        <f aca="false">IF(OR(D87="n/a",E87="n/a"),"",E87-D87)</f>
        <v>0</v>
      </c>
      <c r="G87" s="22" t="str">
        <f aca="false">IF(AND(D87="n/a",E87="n/a"),"OK",IF(OR(D87="n/a",E87="n/a"),"Diferente",IF(ABS(E87-D87)&lt;=Premissas!$B$19*MAX(1,ABS(D87)),"OK","Diferente")))</f>
        <v>OK</v>
      </c>
    </row>
    <row r="88" customFormat="false" ht="15" hidden="false" customHeight="false" outlineLevel="0" collapsed="false">
      <c r="A88" s="4" t="s">
        <v>104</v>
      </c>
      <c r="B88" s="4" t="s">
        <v>105</v>
      </c>
      <c r="C88" s="4" t="n">
        <v>8</v>
      </c>
      <c r="D88" s="11" t="n">
        <v>6243466850.1016</v>
      </c>
      <c r="E88" s="16" t="n">
        <f aca="false">KPIs!J12</f>
        <v>6243466850.1016</v>
      </c>
      <c r="F88" s="26" t="n">
        <f aca="false">IF(OR(D88="n/a",E88="n/a"),"",E88-D88)</f>
        <v>0</v>
      </c>
      <c r="G88" s="22" t="str">
        <f aca="false">IF(AND(D88="n/a",E88="n/a"),"OK",IF(OR(D88="n/a",E88="n/a"),"Diferente",IF(ABS(E88-D88)&lt;=Premissas!$B$19*MAX(1,ABS(D88)),"OK","Diferente")))</f>
        <v>OK</v>
      </c>
    </row>
    <row r="89" customFormat="false" ht="15" hidden="false" customHeight="false" outlineLevel="0" collapsed="false">
      <c r="A89" s="4" t="s">
        <v>104</v>
      </c>
      <c r="B89" s="4" t="s">
        <v>105</v>
      </c>
      <c r="C89" s="4" t="n">
        <v>9</v>
      </c>
      <c r="D89" s="11" t="n">
        <v>6639753018.67415</v>
      </c>
      <c r="E89" s="16" t="n">
        <f aca="false">KPIs!K12</f>
        <v>6639753018.67415</v>
      </c>
      <c r="F89" s="26" t="n">
        <f aca="false">IF(OR(D89="n/a",E89="n/a"),"",E89-D89)</f>
        <v>0</v>
      </c>
      <c r="G89" s="22" t="str">
        <f aca="false">IF(AND(D89="n/a",E89="n/a"),"OK",IF(OR(D89="n/a",E89="n/a"),"Diferente",IF(ABS(E89-D89)&lt;=Premissas!$B$19*MAX(1,ABS(D89)),"OK","Diferente")))</f>
        <v>OK</v>
      </c>
    </row>
    <row r="90" customFormat="false" ht="15" hidden="false" customHeight="false" outlineLevel="0" collapsed="false">
      <c r="A90" s="4" t="s">
        <v>104</v>
      </c>
      <c r="B90" s="4" t="s">
        <v>105</v>
      </c>
      <c r="C90" s="4" t="n">
        <v>10</v>
      </c>
      <c r="D90" s="11" t="n">
        <v>7305014801.50247</v>
      </c>
      <c r="E90" s="16" t="n">
        <f aca="false">KPIs!L12</f>
        <v>7305014801.50247</v>
      </c>
      <c r="F90" s="26" t="n">
        <f aca="false">IF(OR(D90="n/a",E90="n/a"),"",E90-D90)</f>
        <v>0</v>
      </c>
      <c r="G90" s="22" t="str">
        <f aca="false">IF(AND(D90="n/a",E90="n/a"),"OK",IF(OR(D90="n/a",E90="n/a"),"Diferente",IF(ABS(E90-D90)&lt;=Premissas!$B$19*MAX(1,ABS(D90)),"OK","Diferente")))</f>
        <v>OK</v>
      </c>
    </row>
    <row r="91" customFormat="false" ht="15" hidden="false" customHeight="false" outlineLevel="0" collapsed="false">
      <c r="A91" s="4" t="s">
        <v>104</v>
      </c>
      <c r="B91" s="4" t="s">
        <v>105</v>
      </c>
      <c r="C91" s="4" t="n">
        <v>11</v>
      </c>
      <c r="D91" s="11" t="n">
        <v>8075401070.53981</v>
      </c>
      <c r="E91" s="16" t="n">
        <f aca="false">KPIs!M12</f>
        <v>8075401070.53981</v>
      </c>
      <c r="F91" s="26" t="n">
        <f aca="false">IF(OR(D91="n/a",E91="n/a"),"",E91-D91)</f>
        <v>0</v>
      </c>
      <c r="G91" s="22" t="str">
        <f aca="false">IF(AND(D91="n/a",E91="n/a"),"OK",IF(OR(D91="n/a",E91="n/a"),"Diferente",IF(ABS(E91-D91)&lt;=Premissas!$B$19*MAX(1,ABS(D91)),"OK","Diferente")))</f>
        <v>OK</v>
      </c>
    </row>
    <row r="92" customFormat="false" ht="15" hidden="false" customHeight="false" outlineLevel="0" collapsed="false">
      <c r="A92" s="4" t="s">
        <v>104</v>
      </c>
      <c r="B92" s="4" t="s">
        <v>105</v>
      </c>
      <c r="C92" s="4" t="n">
        <v>12</v>
      </c>
      <c r="D92" s="11" t="n">
        <v>11545134307.616</v>
      </c>
      <c r="E92" s="16" t="n">
        <f aca="false">KPIs!N12</f>
        <v>11545134307.616</v>
      </c>
      <c r="F92" s="26" t="n">
        <f aca="false">IF(OR(D92="n/a",E92="n/a"),"",E92-D92)</f>
        <v>0</v>
      </c>
      <c r="G92" s="22" t="str">
        <f aca="false">IF(AND(D92="n/a",E92="n/a"),"OK",IF(OR(D92="n/a",E92="n/a"),"Diferente",IF(ABS(E92-D92)&lt;=Premissas!$B$19*MAX(1,ABS(D92)),"OK","Diferente")))</f>
        <v>OK</v>
      </c>
    </row>
    <row r="93" customFormat="false" ht="15" hidden="false" customHeight="false" outlineLevel="0" collapsed="false">
      <c r="A93" s="4" t="s">
        <v>106</v>
      </c>
      <c r="B93" s="4" t="s">
        <v>107</v>
      </c>
      <c r="C93" s="4" t="n">
        <v>1</v>
      </c>
      <c r="D93" s="27" t="n">
        <v>0.788509916603469</v>
      </c>
      <c r="E93" s="7" t="n">
        <f aca="false">KPIs!C13</f>
        <v>0.788509916603469</v>
      </c>
      <c r="F93" s="26" t="n">
        <f aca="false">IF(OR(D93="n/a",E93="n/a"),"",E93-D93)</f>
        <v>0</v>
      </c>
      <c r="G93" s="22" t="str">
        <f aca="false">IF(AND(D93="n/a",E93="n/a"),"OK",IF(OR(D93="n/a",E93="n/a"),"Diferente",IF(ABS(E93-D93)&lt;=Premissas!$B$19*MAX(1,ABS(D93)),"OK","Diferente")))</f>
        <v>OK</v>
      </c>
    </row>
    <row r="94" customFormat="false" ht="15" hidden="false" customHeight="false" outlineLevel="0" collapsed="false">
      <c r="A94" s="4" t="s">
        <v>106</v>
      </c>
      <c r="B94" s="4" t="s">
        <v>107</v>
      </c>
      <c r="C94" s="4" t="n">
        <v>2</v>
      </c>
      <c r="D94" s="27" t="n">
        <v>0.769972557196013</v>
      </c>
      <c r="E94" s="7" t="n">
        <f aca="false">KPIs!D13</f>
        <v>0.769972557196013</v>
      </c>
      <c r="F94" s="26" t="n">
        <f aca="false">IF(OR(D94="n/a",E94="n/a"),"",E94-D94)</f>
        <v>0</v>
      </c>
      <c r="G94" s="22" t="str">
        <f aca="false">IF(AND(D94="n/a",E94="n/a"),"OK",IF(OR(D94="n/a",E94="n/a"),"Diferente",IF(ABS(E94-D94)&lt;=Premissas!$B$19*MAX(1,ABS(D94)),"OK","Diferente")))</f>
        <v>OK</v>
      </c>
    </row>
    <row r="95" customFormat="false" ht="15" hidden="false" customHeight="false" outlineLevel="0" collapsed="false">
      <c r="A95" s="4" t="s">
        <v>106</v>
      </c>
      <c r="B95" s="4" t="s">
        <v>107</v>
      </c>
      <c r="C95" s="4" t="n">
        <v>3</v>
      </c>
      <c r="D95" s="27" t="n">
        <v>0.79276911407388</v>
      </c>
      <c r="E95" s="7" t="n">
        <f aca="false">KPIs!E13</f>
        <v>0.79276911407388</v>
      </c>
      <c r="F95" s="26" t="n">
        <f aca="false">IF(OR(D95="n/a",E95="n/a"),"",E95-D95)</f>
        <v>0</v>
      </c>
      <c r="G95" s="22" t="str">
        <f aca="false">IF(AND(D95="n/a",E95="n/a"),"OK",IF(OR(D95="n/a",E95="n/a"),"Diferente",IF(ABS(E95-D95)&lt;=Premissas!$B$19*MAX(1,ABS(D95)),"OK","Diferente")))</f>
        <v>OK</v>
      </c>
    </row>
    <row r="96" customFormat="false" ht="15" hidden="false" customHeight="false" outlineLevel="0" collapsed="false">
      <c r="A96" s="4" t="s">
        <v>106</v>
      </c>
      <c r="B96" s="4" t="s">
        <v>107</v>
      </c>
      <c r="C96" s="4" t="n">
        <v>4</v>
      </c>
      <c r="D96" s="27" t="n">
        <v>0.79991981690706</v>
      </c>
      <c r="E96" s="7" t="n">
        <f aca="false">KPIs!F13</f>
        <v>0.79991981690706</v>
      </c>
      <c r="F96" s="26" t="n">
        <f aca="false">IF(OR(D96="n/a",E96="n/a"),"",E96-D96)</f>
        <v>0</v>
      </c>
      <c r="G96" s="22" t="str">
        <f aca="false">IF(AND(D96="n/a",E96="n/a"),"OK",IF(OR(D96="n/a",E96="n/a"),"Diferente",IF(ABS(E96-D96)&lt;=Premissas!$B$19*MAX(1,ABS(D96)),"OK","Diferente")))</f>
        <v>OK</v>
      </c>
    </row>
    <row r="97" customFormat="false" ht="15" hidden="false" customHeight="false" outlineLevel="0" collapsed="false">
      <c r="A97" s="4" t="s">
        <v>106</v>
      </c>
      <c r="B97" s="4" t="s">
        <v>107</v>
      </c>
      <c r="C97" s="4" t="n">
        <v>5</v>
      </c>
      <c r="D97" s="27" t="n">
        <v>0.8270311373146</v>
      </c>
      <c r="E97" s="7" t="n">
        <f aca="false">KPIs!G13</f>
        <v>0.8270311373146</v>
      </c>
      <c r="F97" s="26" t="n">
        <f aca="false">IF(OR(D97="n/a",E97="n/a"),"",E97-D97)</f>
        <v>0</v>
      </c>
      <c r="G97" s="22" t="str">
        <f aca="false">IF(AND(D97="n/a",E97="n/a"),"OK",IF(OR(D97="n/a",E97="n/a"),"Diferente",IF(ABS(E97-D97)&lt;=Premissas!$B$19*MAX(1,ABS(D97)),"OK","Diferente")))</f>
        <v>OK</v>
      </c>
    </row>
    <row r="98" customFormat="false" ht="15" hidden="false" customHeight="false" outlineLevel="0" collapsed="false">
      <c r="A98" s="4" t="s">
        <v>106</v>
      </c>
      <c r="B98" s="4" t="s">
        <v>107</v>
      </c>
      <c r="C98" s="4" t="n">
        <v>6</v>
      </c>
      <c r="D98" s="27" t="n">
        <v>0.835517147867016</v>
      </c>
      <c r="E98" s="7" t="n">
        <f aca="false">KPIs!H13</f>
        <v>0.835517147867016</v>
      </c>
      <c r="F98" s="26" t="n">
        <f aca="false">IF(OR(D98="n/a",E98="n/a"),"",E98-D98)</f>
        <v>0</v>
      </c>
      <c r="G98" s="22" t="str">
        <f aca="false">IF(AND(D98="n/a",E98="n/a"),"OK",IF(OR(D98="n/a",E98="n/a"),"Diferente",IF(ABS(E98-D98)&lt;=Premissas!$B$19*MAX(1,ABS(D98)),"OK","Diferente")))</f>
        <v>OK</v>
      </c>
    </row>
    <row r="99" customFormat="false" ht="15" hidden="false" customHeight="false" outlineLevel="0" collapsed="false">
      <c r="A99" s="4" t="s">
        <v>106</v>
      </c>
      <c r="B99" s="4" t="s">
        <v>107</v>
      </c>
      <c r="C99" s="4" t="n">
        <v>7</v>
      </c>
      <c r="D99" s="27" t="n">
        <v>0.826949006834068</v>
      </c>
      <c r="E99" s="7" t="n">
        <f aca="false">KPIs!I13</f>
        <v>0.826949006834068</v>
      </c>
      <c r="F99" s="26" t="n">
        <f aca="false">IF(OR(D99="n/a",E99="n/a"),"",E99-D99)</f>
        <v>0</v>
      </c>
      <c r="G99" s="22" t="str">
        <f aca="false">IF(AND(D99="n/a",E99="n/a"),"OK",IF(OR(D99="n/a",E99="n/a"),"Diferente",IF(ABS(E99-D99)&lt;=Premissas!$B$19*MAX(1,ABS(D99)),"OK","Diferente")))</f>
        <v>OK</v>
      </c>
    </row>
    <row r="100" customFormat="false" ht="15" hidden="false" customHeight="false" outlineLevel="0" collapsed="false">
      <c r="A100" s="4" t="s">
        <v>106</v>
      </c>
      <c r="B100" s="4" t="s">
        <v>107</v>
      </c>
      <c r="C100" s="4" t="n">
        <v>8</v>
      </c>
      <c r="D100" s="27" t="n">
        <v>0.828485452683585</v>
      </c>
      <c r="E100" s="7" t="n">
        <f aca="false">KPIs!J13</f>
        <v>0.828485452683585</v>
      </c>
      <c r="F100" s="26" t="n">
        <f aca="false">IF(OR(D100="n/a",E100="n/a"),"",E100-D100)</f>
        <v>0</v>
      </c>
      <c r="G100" s="22" t="str">
        <f aca="false">IF(AND(D100="n/a",E100="n/a"),"OK",IF(OR(D100="n/a",E100="n/a"),"Diferente",IF(ABS(E100-D100)&lt;=Premissas!$B$19*MAX(1,ABS(D100)),"OK","Diferente")))</f>
        <v>OK</v>
      </c>
    </row>
    <row r="101" customFormat="false" ht="15" hidden="false" customHeight="false" outlineLevel="0" collapsed="false">
      <c r="A101" s="4" t="s">
        <v>106</v>
      </c>
      <c r="B101" s="4" t="s">
        <v>107</v>
      </c>
      <c r="C101" s="4" t="n">
        <v>9</v>
      </c>
      <c r="D101" s="27" t="n">
        <v>0.829945472817965</v>
      </c>
      <c r="E101" s="7" t="n">
        <f aca="false">KPIs!K13</f>
        <v>0.829945472817965</v>
      </c>
      <c r="F101" s="26" t="n">
        <f aca="false">IF(OR(D101="n/a",E101="n/a"),"",E101-D101)</f>
        <v>0</v>
      </c>
      <c r="G101" s="22" t="str">
        <f aca="false">IF(AND(D101="n/a",E101="n/a"),"OK",IF(OR(D101="n/a",E101="n/a"),"Diferente",IF(ABS(E101-D101)&lt;=Premissas!$B$19*MAX(1,ABS(D101)),"OK","Diferente")))</f>
        <v>OK</v>
      </c>
    </row>
    <row r="102" customFormat="false" ht="15" hidden="false" customHeight="false" outlineLevel="0" collapsed="false">
      <c r="A102" s="4" t="s">
        <v>106</v>
      </c>
      <c r="B102" s="4" t="s">
        <v>107</v>
      </c>
      <c r="C102" s="4" t="n">
        <v>10</v>
      </c>
      <c r="D102" s="27" t="n">
        <v>0.856485266795627</v>
      </c>
      <c r="E102" s="7" t="n">
        <f aca="false">KPIs!L13</f>
        <v>0.856485266795627</v>
      </c>
      <c r="F102" s="26" t="n">
        <f aca="false">IF(OR(D102="n/a",E102="n/a"),"",E102-D102)</f>
        <v>0</v>
      </c>
      <c r="G102" s="22" t="str">
        <f aca="false">IF(AND(D102="n/a",E102="n/a"),"OK",IF(OR(D102="n/a",E102="n/a"),"Diferente",IF(ABS(E102-D102)&lt;=Premissas!$B$19*MAX(1,ABS(D102)),"OK","Diferente")))</f>
        <v>OK</v>
      </c>
    </row>
    <row r="103" customFormat="false" ht="15" hidden="false" customHeight="false" outlineLevel="0" collapsed="false">
      <c r="A103" s="4" t="s">
        <v>106</v>
      </c>
      <c r="B103" s="4" t="s">
        <v>107</v>
      </c>
      <c r="C103" s="4" t="n">
        <v>11</v>
      </c>
      <c r="D103" s="27" t="n">
        <v>0.890084468796617</v>
      </c>
      <c r="E103" s="7" t="n">
        <f aca="false">KPIs!M13</f>
        <v>0.890084468796617</v>
      </c>
      <c r="F103" s="26" t="n">
        <f aca="false">IF(OR(D103="n/a",E103="n/a"),"",E103-D103)</f>
        <v>0</v>
      </c>
      <c r="G103" s="22" t="str">
        <f aca="false">IF(AND(D103="n/a",E103="n/a"),"OK",IF(OR(D103="n/a",E103="n/a"),"Diferente",IF(ABS(E103-D103)&lt;=Premissas!$B$19*MAX(1,ABS(D103)),"OK","Diferente")))</f>
        <v>OK</v>
      </c>
    </row>
    <row r="104" customFormat="false" ht="15" hidden="false" customHeight="false" outlineLevel="0" collapsed="false">
      <c r="A104" s="4" t="s">
        <v>106</v>
      </c>
      <c r="B104" s="4" t="s">
        <v>107</v>
      </c>
      <c r="C104" s="4" t="n">
        <v>12</v>
      </c>
      <c r="D104" s="27" t="n">
        <v>1.03397547458123</v>
      </c>
      <c r="E104" s="7" t="n">
        <f aca="false">KPIs!N13</f>
        <v>1.03397547458123</v>
      </c>
      <c r="F104" s="26" t="n">
        <f aca="false">IF(OR(D104="n/a",E104="n/a"),"",E104-D104)</f>
        <v>0</v>
      </c>
      <c r="G104" s="22" t="str">
        <f aca="false">IF(AND(D104="n/a",E104="n/a"),"OK",IF(OR(D104="n/a",E104="n/a"),"Diferente",IF(ABS(E104-D104)&lt;=Premissas!$B$19*MAX(1,ABS(D104)),"OK","Diferente")))</f>
        <v>OK</v>
      </c>
    </row>
    <row r="105" customFormat="false" ht="15" hidden="false" customHeight="false" outlineLevel="0" collapsed="false">
      <c r="A105" s="4" t="s">
        <v>108</v>
      </c>
      <c r="B105" s="4" t="s">
        <v>109</v>
      </c>
      <c r="C105" s="4" t="n">
        <v>1</v>
      </c>
      <c r="D105" s="11" t="n">
        <v>2443242968.32408</v>
      </c>
      <c r="E105" s="16" t="n">
        <f aca="false">KPIs!C14</f>
        <v>2443242968.32408</v>
      </c>
      <c r="F105" s="26" t="n">
        <f aca="false">IF(OR(D105="n/a",E105="n/a"),"",E105-D105)</f>
        <v>0</v>
      </c>
      <c r="G105" s="22" t="str">
        <f aca="false">IF(AND(D105="n/a",E105="n/a"),"OK",IF(OR(D105="n/a",E105="n/a"),"Diferente",IF(ABS(E105-D105)&lt;=Premissas!$B$19*MAX(1,ABS(D105)),"OK","Diferente")))</f>
        <v>OK</v>
      </c>
    </row>
    <row r="106" customFormat="false" ht="15" hidden="false" customHeight="false" outlineLevel="0" collapsed="false">
      <c r="A106" s="4" t="s">
        <v>108</v>
      </c>
      <c r="B106" s="4" t="s">
        <v>109</v>
      </c>
      <c r="C106" s="4" t="n">
        <v>2</v>
      </c>
      <c r="D106" s="11" t="n">
        <v>2000833838.1908</v>
      </c>
      <c r="E106" s="16" t="n">
        <f aca="false">KPIs!D14</f>
        <v>2000833838.1908</v>
      </c>
      <c r="F106" s="26" t="n">
        <f aca="false">IF(OR(D106="n/a",E106="n/a"),"",E106-D106)</f>
        <v>0</v>
      </c>
      <c r="G106" s="22" t="str">
        <f aca="false">IF(AND(D106="n/a",E106="n/a"),"OK",IF(OR(D106="n/a",E106="n/a"),"Diferente",IF(ABS(E106-D106)&lt;=Premissas!$B$19*MAX(1,ABS(D106)),"OK","Diferente")))</f>
        <v>OK</v>
      </c>
    </row>
    <row r="107" customFormat="false" ht="15" hidden="false" customHeight="false" outlineLevel="0" collapsed="false">
      <c r="A107" s="4" t="s">
        <v>108</v>
      </c>
      <c r="B107" s="4" t="s">
        <v>109</v>
      </c>
      <c r="C107" s="4" t="n">
        <v>3</v>
      </c>
      <c r="D107" s="11" t="n">
        <v>2123145509.60886</v>
      </c>
      <c r="E107" s="16" t="n">
        <f aca="false">KPIs!E14</f>
        <v>2123145509.60886</v>
      </c>
      <c r="F107" s="26" t="n">
        <f aca="false">IF(OR(D107="n/a",E107="n/a"),"",E107-D107)</f>
        <v>0</v>
      </c>
      <c r="G107" s="22" t="str">
        <f aca="false">IF(AND(D107="n/a",E107="n/a"),"OK",IF(OR(D107="n/a",E107="n/a"),"Diferente",IF(ABS(E107-D107)&lt;=Premissas!$B$19*MAX(1,ABS(D107)),"OK","Diferente")))</f>
        <v>OK</v>
      </c>
    </row>
    <row r="108" customFormat="false" ht="15" hidden="false" customHeight="false" outlineLevel="0" collapsed="false">
      <c r="A108" s="4" t="s">
        <v>108</v>
      </c>
      <c r="B108" s="4" t="s">
        <v>109</v>
      </c>
      <c r="C108" s="4" t="n">
        <v>4</v>
      </c>
      <c r="D108" s="11" t="n">
        <v>2318127489.23197</v>
      </c>
      <c r="E108" s="16" t="n">
        <f aca="false">KPIs!F14</f>
        <v>2318127489.23197</v>
      </c>
      <c r="F108" s="26" t="n">
        <f aca="false">IF(OR(D108="n/a",E108="n/a"),"",E108-D108)</f>
        <v>0</v>
      </c>
      <c r="G108" s="22" t="str">
        <f aca="false">IF(AND(D108="n/a",E108="n/a"),"OK",IF(OR(D108="n/a",E108="n/a"),"Diferente",IF(ABS(E108-D108)&lt;=Premissas!$B$19*MAX(1,ABS(D108)),"OK","Diferente")))</f>
        <v>OK</v>
      </c>
    </row>
    <row r="109" customFormat="false" ht="15" hidden="false" customHeight="false" outlineLevel="0" collapsed="false">
      <c r="A109" s="4" t="s">
        <v>108</v>
      </c>
      <c r="B109" s="4" t="s">
        <v>109</v>
      </c>
      <c r="C109" s="4" t="n">
        <v>5</v>
      </c>
      <c r="D109" s="11" t="n">
        <v>2642606482.79264</v>
      </c>
      <c r="E109" s="16" t="n">
        <f aca="false">KPIs!G14</f>
        <v>2642606482.79264</v>
      </c>
      <c r="F109" s="26" t="n">
        <f aca="false">IF(OR(D109="n/a",E109="n/a"),"",E109-D109)</f>
        <v>0</v>
      </c>
      <c r="G109" s="22" t="str">
        <f aca="false">IF(AND(D109="n/a",E109="n/a"),"OK",IF(OR(D109="n/a",E109="n/a"),"Diferente",IF(ABS(E109-D109)&lt;=Premissas!$B$19*MAX(1,ABS(D109)),"OK","Diferente")))</f>
        <v>OK</v>
      </c>
    </row>
    <row r="110" customFormat="false" ht="15" hidden="false" customHeight="false" outlineLevel="0" collapsed="false">
      <c r="A110" s="4" t="s">
        <v>108</v>
      </c>
      <c r="B110" s="4" t="s">
        <v>109</v>
      </c>
      <c r="C110" s="4" t="n">
        <v>6</v>
      </c>
      <c r="D110" s="11" t="n">
        <v>2955369242.56613</v>
      </c>
      <c r="E110" s="16" t="n">
        <f aca="false">KPIs!H14</f>
        <v>2955369242.56613</v>
      </c>
      <c r="F110" s="26" t="n">
        <f aca="false">IF(OR(D110="n/a",E110="n/a"),"",E110-D110)</f>
        <v>0</v>
      </c>
      <c r="G110" s="22" t="str">
        <f aca="false">IF(AND(D110="n/a",E110="n/a"),"OK",IF(OR(D110="n/a",E110="n/a"),"Diferente",IF(ABS(E110-D110)&lt;=Premissas!$B$19*MAX(1,ABS(D110)),"OK","Diferente")))</f>
        <v>OK</v>
      </c>
    </row>
    <row r="111" customFormat="false" ht="15" hidden="false" customHeight="false" outlineLevel="0" collapsed="false">
      <c r="A111" s="4" t="s">
        <v>108</v>
      </c>
      <c r="B111" s="4" t="s">
        <v>109</v>
      </c>
      <c r="C111" s="4" t="n">
        <v>7</v>
      </c>
      <c r="D111" s="11" t="n">
        <v>3153307023.47259</v>
      </c>
      <c r="E111" s="16" t="n">
        <f aca="false">KPIs!I14</f>
        <v>3153307023.47259</v>
      </c>
      <c r="F111" s="26" t="n">
        <f aca="false">IF(OR(D111="n/a",E111="n/a"),"",E111-D111)</f>
        <v>0</v>
      </c>
      <c r="G111" s="22" t="str">
        <f aca="false">IF(AND(D111="n/a",E111="n/a"),"OK",IF(OR(D111="n/a",E111="n/a"),"Diferente",IF(ABS(E111-D111)&lt;=Premissas!$B$19*MAX(1,ABS(D111)),"OK","Diferente")))</f>
        <v>OK</v>
      </c>
    </row>
    <row r="112" customFormat="false" ht="15" hidden="false" customHeight="false" outlineLevel="0" collapsed="false">
      <c r="A112" s="4" t="s">
        <v>108</v>
      </c>
      <c r="B112" s="4" t="s">
        <v>109</v>
      </c>
      <c r="C112" s="4" t="n">
        <v>8</v>
      </c>
      <c r="D112" s="11" t="n">
        <v>3428036570.71787</v>
      </c>
      <c r="E112" s="16" t="n">
        <f aca="false">KPIs!J14</f>
        <v>3428036570.71787</v>
      </c>
      <c r="F112" s="26" t="n">
        <f aca="false">IF(OR(D112="n/a",E112="n/a"),"",E112-D112)</f>
        <v>0</v>
      </c>
      <c r="G112" s="22" t="str">
        <f aca="false">IF(AND(D112="n/a",E112="n/a"),"OK",IF(OR(D112="n/a",E112="n/a"),"Diferente",IF(ABS(E112-D112)&lt;=Premissas!$B$19*MAX(1,ABS(D112)),"OK","Diferente")))</f>
        <v>OK</v>
      </c>
    </row>
    <row r="113" customFormat="false" ht="15" hidden="false" customHeight="false" outlineLevel="0" collapsed="false">
      <c r="A113" s="4" t="s">
        <v>108</v>
      </c>
      <c r="B113" s="4" t="s">
        <v>109</v>
      </c>
      <c r="C113" s="4" t="n">
        <v>9</v>
      </c>
      <c r="D113" s="11" t="n">
        <v>3734759682.21362</v>
      </c>
      <c r="E113" s="16" t="n">
        <f aca="false">KPIs!K14</f>
        <v>3734759682.21362</v>
      </c>
      <c r="F113" s="26" t="n">
        <f aca="false">IF(OR(D113="n/a",E113="n/a"),"",E113-D113)</f>
        <v>0</v>
      </c>
      <c r="G113" s="22" t="str">
        <f aca="false">IF(AND(D113="n/a",E113="n/a"),"OK",IF(OR(D113="n/a",E113="n/a"),"Diferente",IF(ABS(E113-D113)&lt;=Premissas!$B$19*MAX(1,ABS(D113)),"OK","Diferente")))</f>
        <v>OK</v>
      </c>
    </row>
    <row r="114" customFormat="false" ht="15" hidden="false" customHeight="false" outlineLevel="0" collapsed="false">
      <c r="A114" s="4" t="s">
        <v>108</v>
      </c>
      <c r="B114" s="4" t="s">
        <v>109</v>
      </c>
      <c r="C114" s="4" t="n">
        <v>10</v>
      </c>
      <c r="D114" s="11" t="n">
        <v>4238240524.87838</v>
      </c>
      <c r="E114" s="16" t="n">
        <f aca="false">KPIs!L14</f>
        <v>4238240524.87838</v>
      </c>
      <c r="F114" s="26" t="n">
        <f aca="false">IF(OR(D114="n/a",E114="n/a"),"",E114-D114)</f>
        <v>0</v>
      </c>
      <c r="G114" s="22" t="str">
        <f aca="false">IF(AND(D114="n/a",E114="n/a"),"OK",IF(OR(D114="n/a",E114="n/a"),"Diferente",IF(ABS(E114-D114)&lt;=Premissas!$B$19*MAX(1,ABS(D114)),"OK","Diferente")))</f>
        <v>OK</v>
      </c>
    </row>
    <row r="115" customFormat="false" ht="15" hidden="false" customHeight="false" outlineLevel="0" collapsed="false">
      <c r="A115" s="4" t="s">
        <v>108</v>
      </c>
      <c r="B115" s="4" t="s">
        <v>109</v>
      </c>
      <c r="C115" s="4" t="n">
        <v>11</v>
      </c>
      <c r="D115" s="11" t="n">
        <v>4800115709.59858</v>
      </c>
      <c r="E115" s="16" t="n">
        <f aca="false">KPIs!M14</f>
        <v>4800115709.59858</v>
      </c>
      <c r="F115" s="26" t="n">
        <f aca="false">IF(OR(D115="n/a",E115="n/a"),"",E115-D115)</f>
        <v>0</v>
      </c>
      <c r="G115" s="22" t="str">
        <f aca="false">IF(AND(D115="n/a",E115="n/a"),"OK",IF(OR(D115="n/a",E115="n/a"),"Diferente",IF(ABS(E115-D115)&lt;=Premissas!$B$19*MAX(1,ABS(D115)),"OK","Diferente")))</f>
        <v>OK</v>
      </c>
    </row>
    <row r="116" customFormat="false" ht="15" hidden="false" customHeight="false" outlineLevel="0" collapsed="false">
      <c r="A116" s="4" t="s">
        <v>108</v>
      </c>
      <c r="B116" s="4" t="s">
        <v>109</v>
      </c>
      <c r="C116" s="4" t="n">
        <v>12</v>
      </c>
      <c r="D116" s="11" t="n">
        <v>7093819432.34778</v>
      </c>
      <c r="E116" s="16" t="n">
        <f aca="false">KPIs!N14</f>
        <v>7093819432.34778</v>
      </c>
      <c r="F116" s="26" t="n">
        <f aca="false">IF(OR(D116="n/a",E116="n/a"),"",E116-D116)</f>
        <v>0</v>
      </c>
      <c r="G116" s="22" t="str">
        <f aca="false">IF(AND(D116="n/a",E116="n/a"),"OK",IF(OR(D116="n/a",E116="n/a"),"Diferente",IF(ABS(E116-D116)&lt;=Premissas!$B$19*MAX(1,ABS(D116)),"OK","Diferente")))</f>
        <v>OK</v>
      </c>
    </row>
    <row r="117" customFormat="false" ht="15" hidden="false" customHeight="false" outlineLevel="0" collapsed="false">
      <c r="A117" s="4" t="s">
        <v>110</v>
      </c>
      <c r="B117" s="4" t="s">
        <v>111</v>
      </c>
      <c r="C117" s="4" t="n">
        <v>1</v>
      </c>
      <c r="D117" s="27" t="n">
        <v>0.390839762681916</v>
      </c>
      <c r="E117" s="7" t="n">
        <f aca="false">KPIs!C15</f>
        <v>0.390839762681916</v>
      </c>
      <c r="F117" s="26" t="n">
        <f aca="false">IF(OR(D117="n/a",E117="n/a"),"",E117-D117)</f>
        <v>0</v>
      </c>
      <c r="G117" s="22" t="str">
        <f aca="false">IF(AND(D117="n/a",E117="n/a"),"OK",IF(OR(D117="n/a",E117="n/a"),"Diferente",IF(ABS(E117-D117)&lt;=Premissas!$B$19*MAX(1,ABS(D117)),"OK","Diferente")))</f>
        <v>OK</v>
      </c>
    </row>
    <row r="118" customFormat="false" ht="15" hidden="false" customHeight="false" outlineLevel="0" collapsed="false">
      <c r="A118" s="4" t="s">
        <v>110</v>
      </c>
      <c r="B118" s="4" t="s">
        <v>111</v>
      </c>
      <c r="C118" s="4" t="n">
        <v>2</v>
      </c>
      <c r="D118" s="27" t="n">
        <v>0.356583790027673</v>
      </c>
      <c r="E118" s="7" t="n">
        <f aca="false">KPIs!D15</f>
        <v>0.356583790027673</v>
      </c>
      <c r="F118" s="26" t="n">
        <f aca="false">IF(OR(D118="n/a",E118="n/a"),"",E118-D118)</f>
        <v>0</v>
      </c>
      <c r="G118" s="22" t="str">
        <f aca="false">IF(AND(D118="n/a",E118="n/a"),"OK",IF(OR(D118="n/a",E118="n/a"),"Diferente",IF(ABS(E118-D118)&lt;=Premissas!$B$19*MAX(1,ABS(D118)),"OK","Diferente")))</f>
        <v>OK</v>
      </c>
    </row>
    <row r="119" customFormat="false" ht="15" hidden="false" customHeight="false" outlineLevel="0" collapsed="false">
      <c r="A119" s="4" t="s">
        <v>110</v>
      </c>
      <c r="B119" s="4" t="s">
        <v>111</v>
      </c>
      <c r="C119" s="4" t="n">
        <v>3</v>
      </c>
      <c r="D119" s="27" t="n">
        <v>0.371076724219899</v>
      </c>
      <c r="E119" s="7" t="n">
        <f aca="false">KPIs!E15</f>
        <v>0.371076724219899</v>
      </c>
      <c r="F119" s="26" t="n">
        <f aca="false">IF(OR(D119="n/a",E119="n/a"),"",E119-D119)</f>
        <v>0</v>
      </c>
      <c r="G119" s="22" t="str">
        <f aca="false">IF(AND(D119="n/a",E119="n/a"),"OK",IF(OR(D119="n/a",E119="n/a"),"Diferente",IF(ABS(E119-D119)&lt;=Premissas!$B$19*MAX(1,ABS(D119)),"OK","Diferente")))</f>
        <v>OK</v>
      </c>
    </row>
    <row r="120" customFormat="false" ht="15" hidden="false" customHeight="false" outlineLevel="0" collapsed="false">
      <c r="A120" s="4" t="s">
        <v>110</v>
      </c>
      <c r="B120" s="4" t="s">
        <v>111</v>
      </c>
      <c r="C120" s="4" t="n">
        <v>4</v>
      </c>
      <c r="D120" s="27" t="n">
        <v>0.389655596929015</v>
      </c>
      <c r="E120" s="7" t="n">
        <f aca="false">KPIs!F15</f>
        <v>0.389655596929015</v>
      </c>
      <c r="F120" s="26" t="n">
        <f aca="false">IF(OR(D120="n/a",E120="n/a"),"",E120-D120)</f>
        <v>0</v>
      </c>
      <c r="G120" s="22" t="str">
        <f aca="false">IF(AND(D120="n/a",E120="n/a"),"OK",IF(OR(D120="n/a",E120="n/a"),"Diferente",IF(ABS(E120-D120)&lt;=Premissas!$B$19*MAX(1,ABS(D120)),"OK","Diferente")))</f>
        <v>OK</v>
      </c>
    </row>
    <row r="121" customFormat="false" ht="15" hidden="false" customHeight="false" outlineLevel="0" collapsed="false">
      <c r="A121" s="4" t="s">
        <v>110</v>
      </c>
      <c r="B121" s="4" t="s">
        <v>111</v>
      </c>
      <c r="C121" s="4" t="n">
        <v>5</v>
      </c>
      <c r="D121" s="27" t="n">
        <v>0.422447608872452</v>
      </c>
      <c r="E121" s="7" t="n">
        <f aca="false">KPIs!G15</f>
        <v>0.422447608872452</v>
      </c>
      <c r="F121" s="26" t="n">
        <f aca="false">IF(OR(D121="n/a",E121="n/a"),"",E121-D121)</f>
        <v>0</v>
      </c>
      <c r="G121" s="22" t="str">
        <f aca="false">IF(AND(D121="n/a",E121="n/a"),"OK",IF(OR(D121="n/a",E121="n/a"),"Diferente",IF(ABS(E121-D121)&lt;=Premissas!$B$19*MAX(1,ABS(D121)),"OK","Diferente")))</f>
        <v>OK</v>
      </c>
    </row>
    <row r="122" customFormat="false" ht="15" hidden="false" customHeight="false" outlineLevel="0" collapsed="false">
      <c r="A122" s="4" t="s">
        <v>110</v>
      </c>
      <c r="B122" s="4" t="s">
        <v>111</v>
      </c>
      <c r="C122" s="4" t="n">
        <v>6</v>
      </c>
      <c r="D122" s="27" t="n">
        <v>0.44476962797466</v>
      </c>
      <c r="E122" s="7" t="n">
        <f aca="false">KPIs!H15</f>
        <v>0.44476962797466</v>
      </c>
      <c r="F122" s="26" t="n">
        <f aca="false">IF(OR(D122="n/a",E122="n/a"),"",E122-D122)</f>
        <v>0</v>
      </c>
      <c r="G122" s="22" t="str">
        <f aca="false">IF(AND(D122="n/a",E122="n/a"),"OK",IF(OR(D122="n/a",E122="n/a"),"Diferente",IF(ABS(E122-D122)&lt;=Premissas!$B$19*MAX(1,ABS(D122)),"OK","Diferente")))</f>
        <v>OK</v>
      </c>
    </row>
    <row r="123" customFormat="false" ht="15" hidden="false" customHeight="false" outlineLevel="0" collapsed="false">
      <c r="A123" s="4" t="s">
        <v>110</v>
      </c>
      <c r="B123" s="4" t="s">
        <v>111</v>
      </c>
      <c r="C123" s="4" t="n">
        <v>7</v>
      </c>
      <c r="D123" s="27" t="n">
        <v>0.447076113750479</v>
      </c>
      <c r="E123" s="7" t="n">
        <f aca="false">KPIs!I15</f>
        <v>0.447076113750479</v>
      </c>
      <c r="F123" s="26" t="n">
        <f aca="false">IF(OR(D123="n/a",E123="n/a"),"",E123-D123)</f>
        <v>0</v>
      </c>
      <c r="G123" s="22" t="str">
        <f aca="false">IF(AND(D123="n/a",E123="n/a"),"OK",IF(OR(D123="n/a",E123="n/a"),"Diferente",IF(ABS(E123-D123)&lt;=Premissas!$B$19*MAX(1,ABS(D123)),"OK","Diferente")))</f>
        <v>OK</v>
      </c>
    </row>
    <row r="124" customFormat="false" ht="15" hidden="false" customHeight="false" outlineLevel="0" collapsed="false">
      <c r="A124" s="4" t="s">
        <v>110</v>
      </c>
      <c r="B124" s="4" t="s">
        <v>111</v>
      </c>
      <c r="C124" s="4" t="n">
        <v>8</v>
      </c>
      <c r="D124" s="27" t="n">
        <v>0.454888045102836</v>
      </c>
      <c r="E124" s="7" t="n">
        <f aca="false">KPIs!J15</f>
        <v>0.454888045102836</v>
      </c>
      <c r="F124" s="26" t="n">
        <f aca="false">IF(OR(D124="n/a",E124="n/a"),"",E124-D124)</f>
        <v>0</v>
      </c>
      <c r="G124" s="22" t="str">
        <f aca="false">IF(AND(D124="n/a",E124="n/a"),"OK",IF(OR(D124="n/a",E124="n/a"),"Diferente",IF(ABS(E124-D124)&lt;=Premissas!$B$19*MAX(1,ABS(D124)),"OK","Diferente")))</f>
        <v>OK</v>
      </c>
    </row>
    <row r="125" customFormat="false" ht="15" hidden="false" customHeight="false" outlineLevel="0" collapsed="false">
      <c r="A125" s="4" t="s">
        <v>110</v>
      </c>
      <c r="B125" s="4" t="s">
        <v>111</v>
      </c>
      <c r="C125" s="4" t="n">
        <v>9</v>
      </c>
      <c r="D125" s="27" t="n">
        <v>0.466831654972492</v>
      </c>
      <c r="E125" s="7" t="n">
        <f aca="false">KPIs!K15</f>
        <v>0.466831654972492</v>
      </c>
      <c r="F125" s="26" t="n">
        <f aca="false">IF(OR(D125="n/a",E125="n/a"),"",E125-D125)</f>
        <v>0</v>
      </c>
      <c r="G125" s="22" t="str">
        <f aca="false">IF(AND(D125="n/a",E125="n/a"),"OK",IF(OR(D125="n/a",E125="n/a"),"Diferente",IF(ABS(E125-D125)&lt;=Premissas!$B$19*MAX(1,ABS(D125)),"OK","Diferente")))</f>
        <v>OK</v>
      </c>
    </row>
    <row r="126" customFormat="false" ht="15" hidden="false" customHeight="false" outlineLevel="0" collapsed="false">
      <c r="A126" s="4" t="s">
        <v>110</v>
      </c>
      <c r="B126" s="4" t="s">
        <v>111</v>
      </c>
      <c r="C126" s="4" t="n">
        <v>10</v>
      </c>
      <c r="D126" s="27" t="n">
        <v>0.496917619653268</v>
      </c>
      <c r="E126" s="7" t="n">
        <f aca="false">KPIs!L15</f>
        <v>0.496917619653268</v>
      </c>
      <c r="F126" s="26" t="n">
        <f aca="false">IF(OR(D126="n/a",E126="n/a"),"",E126-D126)</f>
        <v>0</v>
      </c>
      <c r="G126" s="22" t="str">
        <f aca="false">IF(AND(D126="n/a",E126="n/a"),"OK",IF(OR(D126="n/a",E126="n/a"),"Diferente",IF(ABS(E126-D126)&lt;=Premissas!$B$19*MAX(1,ABS(D126)),"OK","Diferente")))</f>
        <v>OK</v>
      </c>
    </row>
    <row r="127" customFormat="false" ht="15" hidden="false" customHeight="false" outlineLevel="0" collapsed="false">
      <c r="A127" s="4" t="s">
        <v>110</v>
      </c>
      <c r="B127" s="4" t="s">
        <v>111</v>
      </c>
      <c r="C127" s="4" t="n">
        <v>11</v>
      </c>
      <c r="D127" s="27" t="n">
        <v>0.529076934287147</v>
      </c>
      <c r="E127" s="7" t="n">
        <f aca="false">KPIs!M15</f>
        <v>0.529076934287147</v>
      </c>
      <c r="F127" s="26" t="n">
        <f aca="false">IF(OR(D127="n/a",E127="n/a"),"",E127-D127)</f>
        <v>0</v>
      </c>
      <c r="G127" s="22" t="str">
        <f aca="false">IF(AND(D127="n/a",E127="n/a"),"OK",IF(OR(D127="n/a",E127="n/a"),"Diferente",IF(ABS(E127-D127)&lt;=Premissas!$B$19*MAX(1,ABS(D127)),"OK","Diferente")))</f>
        <v>OK</v>
      </c>
    </row>
    <row r="128" customFormat="false" ht="15" hidden="false" customHeight="false" outlineLevel="0" collapsed="false">
      <c r="A128" s="4" t="s">
        <v>110</v>
      </c>
      <c r="B128" s="4" t="s">
        <v>111</v>
      </c>
      <c r="C128" s="4" t="n">
        <v>12</v>
      </c>
      <c r="D128" s="27" t="n">
        <v>0.635318318412007</v>
      </c>
      <c r="E128" s="7" t="n">
        <f aca="false">KPIs!N15</f>
        <v>0.635318318412007</v>
      </c>
      <c r="F128" s="26" t="n">
        <f aca="false">IF(OR(D128="n/a",E128="n/a"),"",E128-D128)</f>
        <v>0</v>
      </c>
      <c r="G128" s="22" t="str">
        <f aca="false">IF(AND(D128="n/a",E128="n/a"),"OK",IF(OR(D128="n/a",E128="n/a"),"Diferente",IF(ABS(E128-D128)&lt;=Premissas!$B$19*MAX(1,ABS(D128)),"OK","Diferente")))</f>
        <v>OK</v>
      </c>
    </row>
    <row r="129" customFormat="false" ht="15" hidden="false" customHeight="false" outlineLevel="0" collapsed="false">
      <c r="A129" s="4" t="s">
        <v>113</v>
      </c>
      <c r="B129" s="4" t="s">
        <v>114</v>
      </c>
      <c r="C129" s="4" t="n">
        <v>1</v>
      </c>
      <c r="D129" s="28" t="n">
        <v>2.23954018332902</v>
      </c>
      <c r="E129" s="29" t="n">
        <f aca="false">KPIs!C17</f>
        <v>2.23954018332902</v>
      </c>
      <c r="F129" s="26" t="n">
        <f aca="false">IF(OR(D129="n/a",E129="n/a"),"",E129-D129)</f>
        <v>0</v>
      </c>
      <c r="G129" s="22" t="str">
        <f aca="false">IF(AND(D129="n/a",E129="n/a"),"OK",IF(OR(D129="n/a",E129="n/a"),"Diferente",IF(ABS(E129-D129)&lt;=Premissas!$B$19*MAX(1,ABS(D129)),"OK","Diferente")))</f>
        <v>OK</v>
      </c>
    </row>
    <row r="130" customFormat="false" ht="15" hidden="false" customHeight="false" outlineLevel="0" collapsed="false">
      <c r="A130" s="4" t="s">
        <v>113</v>
      </c>
      <c r="B130" s="4" t="s">
        <v>114</v>
      </c>
      <c r="C130" s="4" t="n">
        <v>2</v>
      </c>
      <c r="D130" s="28" t="n">
        <v>1.52331375248394</v>
      </c>
      <c r="E130" s="29" t="n">
        <f aca="false">KPIs!D17</f>
        <v>1.52331375248394</v>
      </c>
      <c r="F130" s="26" t="n">
        <f aca="false">IF(OR(D130="n/a",E130="n/a"),"",E130-D130)</f>
        <v>0</v>
      </c>
      <c r="G130" s="22" t="str">
        <f aca="false">IF(AND(D130="n/a",E130="n/a"),"OK",IF(OR(D130="n/a",E130="n/a"),"Diferente",IF(ABS(E130-D130)&lt;=Premissas!$B$19*MAX(1,ABS(D130)),"OK","Diferente")))</f>
        <v>OK</v>
      </c>
    </row>
    <row r="131" customFormat="false" ht="15" hidden="false" customHeight="false" outlineLevel="0" collapsed="false">
      <c r="A131" s="4" t="s">
        <v>113</v>
      </c>
      <c r="B131" s="4" t="s">
        <v>114</v>
      </c>
      <c r="C131" s="4" t="n">
        <v>3</v>
      </c>
      <c r="D131" s="28" t="n">
        <v>0.881484402472666</v>
      </c>
      <c r="E131" s="29" t="n">
        <f aca="false">KPIs!E17</f>
        <v>0.881484402472666</v>
      </c>
      <c r="F131" s="26" t="n">
        <f aca="false">IF(OR(D131="n/a",E131="n/a"),"",E131-D131)</f>
        <v>0</v>
      </c>
      <c r="G131" s="22" t="str">
        <f aca="false">IF(AND(D131="n/a",E131="n/a"),"OK",IF(OR(D131="n/a",E131="n/a"),"Diferente",IF(ABS(E131-D131)&lt;=Premissas!$B$19*MAX(1,ABS(D131)),"OK","Diferente")))</f>
        <v>OK</v>
      </c>
    </row>
    <row r="132" customFormat="false" ht="15" hidden="false" customHeight="false" outlineLevel="0" collapsed="false">
      <c r="A132" s="4" t="s">
        <v>113</v>
      </c>
      <c r="B132" s="4" t="s">
        <v>114</v>
      </c>
      <c r="C132" s="4" t="n">
        <v>4</v>
      </c>
      <c r="D132" s="28" t="n">
        <v>0.652282710528947</v>
      </c>
      <c r="E132" s="29" t="n">
        <f aca="false">KPIs!F17</f>
        <v>0.652282710528947</v>
      </c>
      <c r="F132" s="26" t="n">
        <f aca="false">IF(OR(D132="n/a",E132="n/a"),"",E132-D132)</f>
        <v>0</v>
      </c>
      <c r="G132" s="22" t="str">
        <f aca="false">IF(AND(D132="n/a",E132="n/a"),"OK",IF(OR(D132="n/a",E132="n/a"),"Diferente",IF(ABS(E132-D132)&lt;=Premissas!$B$19*MAX(1,ABS(D132)),"OK","Diferente")))</f>
        <v>OK</v>
      </c>
    </row>
    <row r="133" customFormat="false" ht="15" hidden="false" customHeight="false" outlineLevel="0" collapsed="false">
      <c r="A133" s="4" t="s">
        <v>113</v>
      </c>
      <c r="B133" s="4" t="s">
        <v>114</v>
      </c>
      <c r="C133" s="4" t="n">
        <v>5</v>
      </c>
      <c r="D133" s="28" t="n">
        <v>0.513231998391999</v>
      </c>
      <c r="E133" s="29" t="n">
        <f aca="false">KPIs!G17</f>
        <v>0.513231998391999</v>
      </c>
      <c r="F133" s="26" t="n">
        <f aca="false">IF(OR(D133="n/a",E133="n/a"),"",E133-D133)</f>
        <v>0</v>
      </c>
      <c r="G133" s="22" t="str">
        <f aca="false">IF(AND(D133="n/a",E133="n/a"),"OK",IF(OR(D133="n/a",E133="n/a"),"Diferente",IF(ABS(E133-D133)&lt;=Premissas!$B$19*MAX(1,ABS(D133)),"OK","Diferente")))</f>
        <v>OK</v>
      </c>
    </row>
    <row r="134" customFormat="false" ht="15" hidden="false" customHeight="false" outlineLevel="0" collapsed="false">
      <c r="A134" s="4" t="s">
        <v>113</v>
      </c>
      <c r="B134" s="4" t="s">
        <v>114</v>
      </c>
      <c r="C134" s="4" t="n">
        <v>6</v>
      </c>
      <c r="D134" s="28" t="n">
        <v>0.450193300327875</v>
      </c>
      <c r="E134" s="29" t="n">
        <f aca="false">KPIs!H17</f>
        <v>0.450193300327875</v>
      </c>
      <c r="F134" s="26" t="n">
        <f aca="false">IF(OR(D134="n/a",E134="n/a"),"",E134-D134)</f>
        <v>0</v>
      </c>
      <c r="G134" s="22" t="str">
        <f aca="false">IF(AND(D134="n/a",E134="n/a"),"OK",IF(OR(D134="n/a",E134="n/a"),"Diferente",IF(ABS(E134-D134)&lt;=Premissas!$B$19*MAX(1,ABS(D134)),"OK","Diferente")))</f>
        <v>OK</v>
      </c>
    </row>
    <row r="135" customFormat="false" ht="15" hidden="false" customHeight="false" outlineLevel="0" collapsed="false">
      <c r="A135" s="4" t="s">
        <v>113</v>
      </c>
      <c r="B135" s="4" t="s">
        <v>114</v>
      </c>
      <c r="C135" s="4" t="n">
        <v>7</v>
      </c>
      <c r="D135" s="28" t="n">
        <v>0.585585434073428</v>
      </c>
      <c r="E135" s="29" t="n">
        <f aca="false">KPIs!I17</f>
        <v>0.585585434073428</v>
      </c>
      <c r="F135" s="26" t="n">
        <f aca="false">IF(OR(D135="n/a",E135="n/a"),"",E135-D135)</f>
        <v>0</v>
      </c>
      <c r="G135" s="22" t="str">
        <f aca="false">IF(AND(D135="n/a",E135="n/a"),"OK",IF(OR(D135="n/a",E135="n/a"),"Diferente",IF(ABS(E135-D135)&lt;=Premissas!$B$19*MAX(1,ABS(D135)),"OK","Diferente")))</f>
        <v>OK</v>
      </c>
    </row>
    <row r="136" customFormat="false" ht="15" hidden="false" customHeight="false" outlineLevel="0" collapsed="false">
      <c r="A136" s="4" t="s">
        <v>113</v>
      </c>
      <c r="B136" s="4" t="s">
        <v>114</v>
      </c>
      <c r="C136" s="4" t="n">
        <v>8</v>
      </c>
      <c r="D136" s="28" t="n">
        <v>0.849250278055619</v>
      </c>
      <c r="E136" s="29" t="n">
        <f aca="false">KPIs!J17</f>
        <v>0.849250278055619</v>
      </c>
      <c r="F136" s="26" t="n">
        <f aca="false">IF(OR(D136="n/a",E136="n/a"),"",E136-D136)</f>
        <v>0</v>
      </c>
      <c r="G136" s="22" t="str">
        <f aca="false">IF(AND(D136="n/a",E136="n/a"),"OK",IF(OR(D136="n/a",E136="n/a"),"Diferente",IF(ABS(E136-D136)&lt;=Premissas!$B$19*MAX(1,ABS(D136)),"OK","Diferente")))</f>
        <v>OK</v>
      </c>
    </row>
    <row r="137" customFormat="false" ht="15" hidden="false" customHeight="false" outlineLevel="0" collapsed="false">
      <c r="A137" s="4" t="s">
        <v>113</v>
      </c>
      <c r="B137" s="4" t="s">
        <v>114</v>
      </c>
      <c r="C137" s="4" t="n">
        <v>9</v>
      </c>
      <c r="D137" s="28" t="n">
        <v>1.07345927597197</v>
      </c>
      <c r="E137" s="29" t="n">
        <f aca="false">KPIs!K17</f>
        <v>1.07345927597197</v>
      </c>
      <c r="F137" s="26" t="n">
        <f aca="false">IF(OR(D137="n/a",E137="n/a"),"",E137-D137)</f>
        <v>0</v>
      </c>
      <c r="G137" s="22" t="str">
        <f aca="false">IF(AND(D137="n/a",E137="n/a"),"OK",IF(OR(D137="n/a",E137="n/a"),"Diferente",IF(ABS(E137-D137)&lt;=Premissas!$B$19*MAX(1,ABS(D137)),"OK","Diferente")))</f>
        <v>OK</v>
      </c>
    </row>
    <row r="138" customFormat="false" ht="15" hidden="false" customHeight="false" outlineLevel="0" collapsed="false">
      <c r="A138" s="4" t="s">
        <v>113</v>
      </c>
      <c r="B138" s="4" t="s">
        <v>114</v>
      </c>
      <c r="C138" s="4" t="n">
        <v>10</v>
      </c>
      <c r="D138" s="28" t="n">
        <v>1.80115745088056</v>
      </c>
      <c r="E138" s="29" t="n">
        <f aca="false">KPIs!L17</f>
        <v>1.80115745088056</v>
      </c>
      <c r="F138" s="26" t="n">
        <f aca="false">IF(OR(D138="n/a",E138="n/a"),"",E138-D138)</f>
        <v>0</v>
      </c>
      <c r="G138" s="22" t="str">
        <f aca="false">IF(AND(D138="n/a",E138="n/a"),"OK",IF(OR(D138="n/a",E138="n/a"),"Diferente",IF(ABS(E138-D138)&lt;=Premissas!$B$19*MAX(1,ABS(D138)),"OK","Diferente")))</f>
        <v>OK</v>
      </c>
    </row>
    <row r="139" customFormat="false" ht="15" hidden="false" customHeight="false" outlineLevel="0" collapsed="false">
      <c r="A139" s="4" t="s">
        <v>113</v>
      </c>
      <c r="B139" s="4" t="s">
        <v>114</v>
      </c>
      <c r="C139" s="4" t="n">
        <v>11</v>
      </c>
      <c r="D139" s="28" t="n">
        <v>2.44468304118017</v>
      </c>
      <c r="E139" s="29" t="n">
        <f aca="false">KPIs!M17</f>
        <v>2.44468304118017</v>
      </c>
      <c r="F139" s="26" t="n">
        <f aca="false">IF(OR(D139="n/a",E139="n/a"),"",E139-D139)</f>
        <v>0</v>
      </c>
      <c r="G139" s="22" t="str">
        <f aca="false">IF(AND(D139="n/a",E139="n/a"),"OK",IF(OR(D139="n/a",E139="n/a"),"Diferente",IF(ABS(E139-D139)&lt;=Premissas!$B$19*MAX(1,ABS(D139)),"OK","Diferente")))</f>
        <v>OK</v>
      </c>
    </row>
    <row r="140" customFormat="false" ht="15" hidden="false" customHeight="false" outlineLevel="0" collapsed="false">
      <c r="A140" s="4" t="s">
        <v>113</v>
      </c>
      <c r="B140" s="4" t="s">
        <v>114</v>
      </c>
      <c r="C140" s="4" t="n">
        <v>12</v>
      </c>
      <c r="D140" s="28" t="s">
        <v>170</v>
      </c>
      <c r="E140" s="29" t="str">
        <f aca="false">KPIs!N17</f>
        <v>n/a</v>
      </c>
      <c r="F140" s="26" t="str">
        <f aca="false">IF(OR(D140="n/a",E140="n/a"),"",E140-D140)</f>
        <v/>
      </c>
      <c r="G140" s="22" t="str">
        <f aca="false">IF(AND(D140="n/a",E140="n/a"),"OK",IF(OR(D140="n/a",E140="n/a"),"Diferente",IF(ABS(E140-D140)&lt;=Premissas!$B$19*MAX(1,ABS(D140)),"OK","Diferente")))</f>
        <v>OK</v>
      </c>
    </row>
    <row r="141" customFormat="false" ht="15" hidden="false" customHeight="false" outlineLevel="0" collapsed="false">
      <c r="A141" s="4" t="s">
        <v>116</v>
      </c>
      <c r="B141" s="4" t="s">
        <v>117</v>
      </c>
      <c r="C141" s="4" t="n">
        <v>1</v>
      </c>
      <c r="D141" s="28" t="n">
        <v>2.23943215387964</v>
      </c>
      <c r="E141" s="29" t="n">
        <f aca="false">KPIs!C18</f>
        <v>2.23943215387964</v>
      </c>
      <c r="F141" s="26" t="n">
        <f aca="false">IF(OR(D141="n/a",E141="n/a"),"",E141-D141)</f>
        <v>0</v>
      </c>
      <c r="G141" s="22" t="str">
        <f aca="false">IF(AND(D141="n/a",E141="n/a"),"OK",IF(OR(D141="n/a",E141="n/a"),"Diferente",IF(ABS(E141-D141)&lt;=Premissas!$B$19*MAX(1,ABS(D141)),"OK","Diferente")))</f>
        <v>OK</v>
      </c>
    </row>
    <row r="142" customFormat="false" ht="15" hidden="false" customHeight="false" outlineLevel="0" collapsed="false">
      <c r="A142" s="4" t="s">
        <v>116</v>
      </c>
      <c r="B142" s="4" t="s">
        <v>117</v>
      </c>
      <c r="C142" s="4" t="n">
        <v>2</v>
      </c>
      <c r="D142" s="28" t="n">
        <v>1.52322959913848</v>
      </c>
      <c r="E142" s="29" t="n">
        <f aca="false">KPIs!D18</f>
        <v>1.52322959913848</v>
      </c>
      <c r="F142" s="26" t="n">
        <f aca="false">IF(OR(D142="n/a",E142="n/a"),"",E142-D142)</f>
        <v>0</v>
      </c>
      <c r="G142" s="22" t="str">
        <f aca="false">IF(AND(D142="n/a",E142="n/a"),"OK",IF(OR(D142="n/a",E142="n/a"),"Diferente",IF(ABS(E142-D142)&lt;=Premissas!$B$19*MAX(1,ABS(D142)),"OK","Diferente")))</f>
        <v>OK</v>
      </c>
    </row>
    <row r="143" customFormat="false" ht="15" hidden="false" customHeight="false" outlineLevel="0" collapsed="false">
      <c r="A143" s="4" t="s">
        <v>116</v>
      </c>
      <c r="B143" s="4" t="s">
        <v>117</v>
      </c>
      <c r="C143" s="4" t="n">
        <v>3</v>
      </c>
      <c r="D143" s="28" t="n">
        <v>0.881451097313222</v>
      </c>
      <c r="E143" s="29" t="n">
        <f aca="false">KPIs!E18</f>
        <v>0.881451097313222</v>
      </c>
      <c r="F143" s="26" t="n">
        <f aca="false">IF(OR(D143="n/a",E143="n/a"),"",E143-D143)</f>
        <v>0</v>
      </c>
      <c r="G143" s="22" t="str">
        <f aca="false">IF(AND(D143="n/a",E143="n/a"),"OK",IF(OR(D143="n/a",E143="n/a"),"Diferente",IF(ABS(E143-D143)&lt;=Premissas!$B$19*MAX(1,ABS(D143)),"OK","Diferente")))</f>
        <v>OK</v>
      </c>
    </row>
    <row r="144" customFormat="false" ht="15" hidden="false" customHeight="false" outlineLevel="0" collapsed="false">
      <c r="A144" s="4" t="s">
        <v>116</v>
      </c>
      <c r="B144" s="4" t="s">
        <v>117</v>
      </c>
      <c r="C144" s="4" t="n">
        <v>4</v>
      </c>
      <c r="D144" s="28" t="n">
        <v>0.652248585174635</v>
      </c>
      <c r="E144" s="29" t="n">
        <f aca="false">KPIs!F18</f>
        <v>0.652248585174635</v>
      </c>
      <c r="F144" s="26" t="n">
        <f aca="false">IF(OR(D144="n/a",E144="n/a"),"",E144-D144)</f>
        <v>0</v>
      </c>
      <c r="G144" s="22" t="str">
        <f aca="false">IF(AND(D144="n/a",E144="n/a"),"OK",IF(OR(D144="n/a",E144="n/a"),"Diferente",IF(ABS(E144-D144)&lt;=Premissas!$B$19*MAX(1,ABS(D144)),"OK","Diferente")))</f>
        <v>OK</v>
      </c>
    </row>
    <row r="145" customFormat="false" ht="15" hidden="false" customHeight="false" outlineLevel="0" collapsed="false">
      <c r="A145" s="4" t="s">
        <v>116</v>
      </c>
      <c r="B145" s="4" t="s">
        <v>117</v>
      </c>
      <c r="C145" s="4" t="n">
        <v>5</v>
      </c>
      <c r="D145" s="28" t="n">
        <v>0.513179034733672</v>
      </c>
      <c r="E145" s="29" t="n">
        <f aca="false">KPIs!G18</f>
        <v>0.513179034733672</v>
      </c>
      <c r="F145" s="26" t="n">
        <f aca="false">IF(OR(D145="n/a",E145="n/a"),"",E145-D145)</f>
        <v>0</v>
      </c>
      <c r="G145" s="22" t="str">
        <f aca="false">IF(AND(D145="n/a",E145="n/a"),"OK",IF(OR(D145="n/a",E145="n/a"),"Diferente",IF(ABS(E145-D145)&lt;=Premissas!$B$19*MAX(1,ABS(D145)),"OK","Diferente")))</f>
        <v>OK</v>
      </c>
    </row>
    <row r="146" customFormat="false" ht="15" hidden="false" customHeight="false" outlineLevel="0" collapsed="false">
      <c r="A146" s="4" t="s">
        <v>116</v>
      </c>
      <c r="B146" s="4" t="s">
        <v>117</v>
      </c>
      <c r="C146" s="4" t="n">
        <v>6</v>
      </c>
      <c r="D146" s="28" t="n">
        <v>0.450143986150904</v>
      </c>
      <c r="E146" s="29" t="n">
        <f aca="false">KPIs!H18</f>
        <v>0.450143986150904</v>
      </c>
      <c r="F146" s="26" t="n">
        <f aca="false">IF(OR(D146="n/a",E146="n/a"),"",E146-D146)</f>
        <v>0</v>
      </c>
      <c r="G146" s="22" t="str">
        <f aca="false">IF(AND(D146="n/a",E146="n/a"),"OK",IF(OR(D146="n/a",E146="n/a"),"Diferente",IF(ABS(E146-D146)&lt;=Premissas!$B$19*MAX(1,ABS(D146)),"OK","Diferente")))</f>
        <v>OK</v>
      </c>
    </row>
    <row r="147" customFormat="false" ht="15" hidden="false" customHeight="false" outlineLevel="0" collapsed="false">
      <c r="A147" s="4" t="s">
        <v>116</v>
      </c>
      <c r="B147" s="4" t="s">
        <v>117</v>
      </c>
      <c r="C147" s="4" t="n">
        <v>7</v>
      </c>
      <c r="D147" s="28" t="n">
        <v>0.585531514961453</v>
      </c>
      <c r="E147" s="29" t="n">
        <f aca="false">KPIs!I18</f>
        <v>0.585531514961453</v>
      </c>
      <c r="F147" s="26" t="n">
        <f aca="false">IF(OR(D147="n/a",E147="n/a"),"",E147-D147)</f>
        <v>0</v>
      </c>
      <c r="G147" s="22" t="str">
        <f aca="false">IF(AND(D147="n/a",E147="n/a"),"OK",IF(OR(D147="n/a",E147="n/a"),"Diferente",IF(ABS(E147-D147)&lt;=Premissas!$B$19*MAX(1,ABS(D147)),"OK","Diferente")))</f>
        <v>OK</v>
      </c>
    </row>
    <row r="148" customFormat="false" ht="15" hidden="false" customHeight="false" outlineLevel="0" collapsed="false">
      <c r="A148" s="4" t="s">
        <v>116</v>
      </c>
      <c r="B148" s="4" t="s">
        <v>117</v>
      </c>
      <c r="C148" s="4" t="n">
        <v>8</v>
      </c>
      <c r="D148" s="28" t="n">
        <v>0.84920893671525</v>
      </c>
      <c r="E148" s="29" t="n">
        <f aca="false">KPIs!J18</f>
        <v>0.84920893671525</v>
      </c>
      <c r="F148" s="26" t="n">
        <f aca="false">IF(OR(D148="n/a",E148="n/a"),"",E148-D148)</f>
        <v>0</v>
      </c>
      <c r="G148" s="22" t="str">
        <f aca="false">IF(AND(D148="n/a",E148="n/a"),"OK",IF(OR(D148="n/a",E148="n/a"),"Diferente",IF(ABS(E148-D148)&lt;=Premissas!$B$19*MAX(1,ABS(D148)),"OK","Diferente")))</f>
        <v>OK</v>
      </c>
    </row>
    <row r="149" customFormat="false" ht="15" hidden="false" customHeight="false" outlineLevel="0" collapsed="false">
      <c r="A149" s="4" t="s">
        <v>116</v>
      </c>
      <c r="B149" s="4" t="s">
        <v>117</v>
      </c>
      <c r="C149" s="4" t="n">
        <v>9</v>
      </c>
      <c r="D149" s="28" t="n">
        <v>1.07341717602019</v>
      </c>
      <c r="E149" s="29" t="n">
        <f aca="false">KPIs!K18</f>
        <v>1.07341717602019</v>
      </c>
      <c r="F149" s="26" t="n">
        <f aca="false">IF(OR(D149="n/a",E149="n/a"),"",E149-D149)</f>
        <v>0</v>
      </c>
      <c r="G149" s="22" t="str">
        <f aca="false">IF(AND(D149="n/a",E149="n/a"),"OK",IF(OR(D149="n/a",E149="n/a"),"Diferente",IF(ABS(E149-D149)&lt;=Premissas!$B$19*MAX(1,ABS(D149)),"OK","Diferente")))</f>
        <v>OK</v>
      </c>
    </row>
    <row r="150" customFormat="false" ht="15" hidden="false" customHeight="false" outlineLevel="0" collapsed="false">
      <c r="A150" s="4" t="s">
        <v>116</v>
      </c>
      <c r="B150" s="4" t="s">
        <v>117</v>
      </c>
      <c r="C150" s="4" t="n">
        <v>10</v>
      </c>
      <c r="D150" s="28" t="n">
        <v>1.80109407213446</v>
      </c>
      <c r="E150" s="29" t="n">
        <f aca="false">KPIs!L18</f>
        <v>1.80109407213446</v>
      </c>
      <c r="F150" s="26" t="n">
        <f aca="false">IF(OR(D150="n/a",E150="n/a"),"",E150-D150)</f>
        <v>0</v>
      </c>
      <c r="G150" s="22" t="str">
        <f aca="false">IF(AND(D150="n/a",E150="n/a"),"OK",IF(OR(D150="n/a",E150="n/a"),"Diferente",IF(ABS(E150-D150)&lt;=Premissas!$B$19*MAX(1,ABS(D150)),"OK","Diferente")))</f>
        <v>OK</v>
      </c>
    </row>
    <row r="151" customFormat="false" ht="15" hidden="false" customHeight="false" outlineLevel="0" collapsed="false">
      <c r="A151" s="4" t="s">
        <v>116</v>
      </c>
      <c r="B151" s="4" t="s">
        <v>117</v>
      </c>
      <c r="C151" s="4" t="n">
        <v>11</v>
      </c>
      <c r="D151" s="28" t="n">
        <v>2.44461706379817</v>
      </c>
      <c r="E151" s="29" t="n">
        <f aca="false">KPIs!M18</f>
        <v>2.44461706379817</v>
      </c>
      <c r="F151" s="26" t="n">
        <f aca="false">IF(OR(D151="n/a",E151="n/a"),"",E151-D151)</f>
        <v>0</v>
      </c>
      <c r="G151" s="22" t="str">
        <f aca="false">IF(AND(D151="n/a",E151="n/a"),"OK",IF(OR(D151="n/a",E151="n/a"),"Diferente",IF(ABS(E151-D151)&lt;=Premissas!$B$19*MAX(1,ABS(D151)),"OK","Diferente")))</f>
        <v>OK</v>
      </c>
    </row>
    <row r="152" customFormat="false" ht="15" hidden="false" customHeight="false" outlineLevel="0" collapsed="false">
      <c r="A152" s="4" t="s">
        <v>116</v>
      </c>
      <c r="B152" s="4" t="s">
        <v>117</v>
      </c>
      <c r="C152" s="4" t="n">
        <v>12</v>
      </c>
      <c r="D152" s="28" t="s">
        <v>170</v>
      </c>
      <c r="E152" s="29" t="str">
        <f aca="false">KPIs!N18</f>
        <v>n/a</v>
      </c>
      <c r="F152" s="26" t="str">
        <f aca="false">IF(OR(D152="n/a",E152="n/a"),"",E152-D152)</f>
        <v/>
      </c>
      <c r="G152" s="22" t="str">
        <f aca="false">IF(AND(D152="n/a",E152="n/a"),"OK",IF(OR(D152="n/a",E152="n/a"),"Diferente",IF(ABS(E152-D152)&lt;=Premissas!$B$19*MAX(1,ABS(D152)),"OK","Diferente")))</f>
        <v>OK</v>
      </c>
    </row>
    <row r="153" customFormat="false" ht="15" hidden="false" customHeight="false" outlineLevel="0" collapsed="false">
      <c r="A153" s="4" t="s">
        <v>118</v>
      </c>
      <c r="B153" s="4" t="s">
        <v>119</v>
      </c>
      <c r="C153" s="4" t="n">
        <v>1</v>
      </c>
      <c r="D153" s="28" t="n">
        <v>1.5031508313242</v>
      </c>
      <c r="E153" s="29" t="n">
        <f aca="false">KPIs!C19</f>
        <v>1.5031508313242</v>
      </c>
      <c r="F153" s="26" t="n">
        <f aca="false">IF(OR(D153="n/a",E153="n/a"),"",E153-D153)</f>
        <v>0</v>
      </c>
      <c r="G153" s="22" t="str">
        <f aca="false">IF(AND(D153="n/a",E153="n/a"),"OK",IF(OR(D153="n/a",E153="n/a"),"Diferente",IF(ABS(E153-D153)&lt;=Premissas!$B$19*MAX(1,ABS(D153)),"OK","Diferente")))</f>
        <v>OK</v>
      </c>
    </row>
    <row r="154" customFormat="false" ht="15" hidden="false" customHeight="false" outlineLevel="0" collapsed="false">
      <c r="A154" s="4" t="s">
        <v>118</v>
      </c>
      <c r="B154" s="4" t="s">
        <v>119</v>
      </c>
      <c r="C154" s="4" t="n">
        <v>2</v>
      </c>
      <c r="D154" s="28" t="n">
        <v>0.993303007652896</v>
      </c>
      <c r="E154" s="29" t="n">
        <f aca="false">KPIs!D19</f>
        <v>0.993303007652896</v>
      </c>
      <c r="F154" s="26" t="n">
        <f aca="false">IF(OR(D154="n/a",E154="n/a"),"",E154-D154)</f>
        <v>0</v>
      </c>
      <c r="G154" s="22" t="str">
        <f aca="false">IF(AND(D154="n/a",E154="n/a"),"OK",IF(OR(D154="n/a",E154="n/a"),"Diferente",IF(ABS(E154-D154)&lt;=Premissas!$B$19*MAX(1,ABS(D154)),"OK","Diferente")))</f>
        <v>OK</v>
      </c>
    </row>
    <row r="155" customFormat="false" ht="15" hidden="false" customHeight="false" outlineLevel="0" collapsed="false">
      <c r="A155" s="4" t="s">
        <v>118</v>
      </c>
      <c r="B155" s="4" t="s">
        <v>119</v>
      </c>
      <c r="C155" s="4" t="n">
        <v>3</v>
      </c>
      <c r="D155" s="28" t="n">
        <v>0.67225711446456</v>
      </c>
      <c r="E155" s="29" t="n">
        <f aca="false">KPIs!E19</f>
        <v>0.67225711446456</v>
      </c>
      <c r="F155" s="26" t="n">
        <f aca="false">IF(OR(D155="n/a",E155="n/a"),"",E155-D155)</f>
        <v>0</v>
      </c>
      <c r="G155" s="22" t="str">
        <f aca="false">IF(AND(D155="n/a",E155="n/a"),"OK",IF(OR(D155="n/a",E155="n/a"),"Diferente",IF(ABS(E155-D155)&lt;=Premissas!$B$19*MAX(1,ABS(D155)),"OK","Diferente")))</f>
        <v>OK</v>
      </c>
    </row>
    <row r="156" customFormat="false" ht="15" hidden="false" customHeight="false" outlineLevel="0" collapsed="false">
      <c r="A156" s="4" t="s">
        <v>118</v>
      </c>
      <c r="B156" s="4" t="s">
        <v>119</v>
      </c>
      <c r="C156" s="4" t="n">
        <v>4</v>
      </c>
      <c r="D156" s="28" t="n">
        <v>0.440210029823131</v>
      </c>
      <c r="E156" s="29" t="n">
        <f aca="false">KPIs!F19</f>
        <v>0.440210029823131</v>
      </c>
      <c r="F156" s="26" t="n">
        <f aca="false">IF(OR(D156="n/a",E156="n/a"),"",E156-D156)</f>
        <v>0</v>
      </c>
      <c r="G156" s="22" t="str">
        <f aca="false">IF(AND(D156="n/a",E156="n/a"),"OK",IF(OR(D156="n/a",E156="n/a"),"Diferente",IF(ABS(E156-D156)&lt;=Premissas!$B$19*MAX(1,ABS(D156)),"OK","Diferente")))</f>
        <v>OK</v>
      </c>
    </row>
    <row r="157" customFormat="false" ht="15" hidden="false" customHeight="false" outlineLevel="0" collapsed="false">
      <c r="A157" s="4" t="s">
        <v>118</v>
      </c>
      <c r="B157" s="4" t="s">
        <v>119</v>
      </c>
      <c r="C157" s="4" t="n">
        <v>5</v>
      </c>
      <c r="D157" s="28" t="n">
        <v>0.187949186583801</v>
      </c>
      <c r="E157" s="29" t="n">
        <f aca="false">KPIs!G19</f>
        <v>0.187949186583801</v>
      </c>
      <c r="F157" s="26" t="n">
        <f aca="false">IF(OR(D157="n/a",E157="n/a"),"",E157-D157)</f>
        <v>0</v>
      </c>
      <c r="G157" s="22" t="str">
        <f aca="false">IF(AND(D157="n/a",E157="n/a"),"OK",IF(OR(D157="n/a",E157="n/a"),"Diferente",IF(ABS(E157-D157)&lt;=Premissas!$B$19*MAX(1,ABS(D157)),"OK","Diferente")))</f>
        <v>OK</v>
      </c>
    </row>
    <row r="158" customFormat="false" ht="15" hidden="false" customHeight="false" outlineLevel="0" collapsed="false">
      <c r="A158" s="4" t="s">
        <v>118</v>
      </c>
      <c r="B158" s="4" t="s">
        <v>119</v>
      </c>
      <c r="C158" s="4" t="n">
        <v>6</v>
      </c>
      <c r="D158" s="28" t="n">
        <v>0.151536388098847</v>
      </c>
      <c r="E158" s="29" t="n">
        <f aca="false">KPIs!H19</f>
        <v>0.151536388098847</v>
      </c>
      <c r="F158" s="26" t="n">
        <f aca="false">IF(OR(D158="n/a",E158="n/a"),"",E158-D158)</f>
        <v>0</v>
      </c>
      <c r="G158" s="22" t="str">
        <f aca="false">IF(AND(D158="n/a",E158="n/a"),"OK",IF(OR(D158="n/a",E158="n/a"),"Diferente",IF(ABS(E158-D158)&lt;=Premissas!$B$19*MAX(1,ABS(D158)),"OK","Diferente")))</f>
        <v>OK</v>
      </c>
    </row>
    <row r="159" customFormat="false" ht="15" hidden="false" customHeight="false" outlineLevel="0" collapsed="false">
      <c r="A159" s="4" t="s">
        <v>118</v>
      </c>
      <c r="B159" s="4" t="s">
        <v>119</v>
      </c>
      <c r="C159" s="4" t="n">
        <v>7</v>
      </c>
      <c r="D159" s="28" t="n">
        <v>0.266227378804045</v>
      </c>
      <c r="E159" s="29" t="n">
        <f aca="false">KPIs!I19</f>
        <v>0.266227378804045</v>
      </c>
      <c r="F159" s="26" t="n">
        <f aca="false">IF(OR(D159="n/a",E159="n/a"),"",E159-D159)</f>
        <v>0</v>
      </c>
      <c r="G159" s="22" t="str">
        <f aca="false">IF(AND(D159="n/a",E159="n/a"),"OK",IF(OR(D159="n/a",E159="n/a"),"Diferente",IF(ABS(E159-D159)&lt;=Premissas!$B$19*MAX(1,ABS(D159)),"OK","Diferente")))</f>
        <v>OK</v>
      </c>
    </row>
    <row r="160" customFormat="false" ht="15" hidden="false" customHeight="false" outlineLevel="0" collapsed="false">
      <c r="A160" s="4" t="s">
        <v>118</v>
      </c>
      <c r="B160" s="4" t="s">
        <v>119</v>
      </c>
      <c r="C160" s="4" t="n">
        <v>8</v>
      </c>
      <c r="D160" s="28" t="n">
        <v>0.653840163627167</v>
      </c>
      <c r="E160" s="29" t="n">
        <f aca="false">KPIs!J19</f>
        <v>0.653840163627167</v>
      </c>
      <c r="F160" s="26" t="n">
        <f aca="false">IF(OR(D160="n/a",E160="n/a"),"",E160-D160)</f>
        <v>0</v>
      </c>
      <c r="G160" s="22" t="str">
        <f aca="false">IF(AND(D160="n/a",E160="n/a"),"OK",IF(OR(D160="n/a",E160="n/a"),"Diferente",IF(ABS(E160-D160)&lt;=Premissas!$B$19*MAX(1,ABS(D160)),"OK","Diferente")))</f>
        <v>OK</v>
      </c>
    </row>
    <row r="161" customFormat="false" ht="15" hidden="false" customHeight="false" outlineLevel="0" collapsed="false">
      <c r="A161" s="4" t="s">
        <v>118</v>
      </c>
      <c r="B161" s="4" t="s">
        <v>119</v>
      </c>
      <c r="C161" s="4" t="n">
        <v>9</v>
      </c>
      <c r="D161" s="28" t="n">
        <v>0.934789828459714</v>
      </c>
      <c r="E161" s="29" t="n">
        <f aca="false">KPIs!K19</f>
        <v>0.934789828459714</v>
      </c>
      <c r="F161" s="26" t="n">
        <f aca="false">IF(OR(D161="n/a",E161="n/a"),"",E161-D161)</f>
        <v>0</v>
      </c>
      <c r="G161" s="22" t="str">
        <f aca="false">IF(AND(D161="n/a",E161="n/a"),"OK",IF(OR(D161="n/a",E161="n/a"),"Diferente",IF(ABS(E161-D161)&lt;=Premissas!$B$19*MAX(1,ABS(D161)),"OK","Diferente")))</f>
        <v>OK</v>
      </c>
    </row>
    <row r="162" customFormat="false" ht="15" hidden="false" customHeight="false" outlineLevel="0" collapsed="false">
      <c r="A162" s="4" t="s">
        <v>118</v>
      </c>
      <c r="B162" s="4" t="s">
        <v>119</v>
      </c>
      <c r="C162" s="4" t="n">
        <v>10</v>
      </c>
      <c r="D162" s="28" t="n">
        <v>1.70143392012585</v>
      </c>
      <c r="E162" s="29" t="n">
        <f aca="false">KPIs!L19</f>
        <v>1.70143392012585</v>
      </c>
      <c r="F162" s="26" t="n">
        <f aca="false">IF(OR(D162="n/a",E162="n/a"),"",E162-D162)</f>
        <v>0</v>
      </c>
      <c r="G162" s="22" t="str">
        <f aca="false">IF(AND(D162="n/a",E162="n/a"),"OK",IF(OR(D162="n/a",E162="n/a"),"Diferente",IF(ABS(E162-D162)&lt;=Premissas!$B$19*MAX(1,ABS(D162)),"OK","Diferente")))</f>
        <v>OK</v>
      </c>
    </row>
    <row r="163" customFormat="false" ht="15" hidden="false" customHeight="false" outlineLevel="0" collapsed="false">
      <c r="A163" s="4" t="s">
        <v>118</v>
      </c>
      <c r="B163" s="4" t="s">
        <v>119</v>
      </c>
      <c r="C163" s="4" t="n">
        <v>11</v>
      </c>
      <c r="D163" s="28" t="n">
        <v>2.47227072478633</v>
      </c>
      <c r="E163" s="29" t="n">
        <f aca="false">KPIs!M19</f>
        <v>2.47227072478633</v>
      </c>
      <c r="F163" s="26" t="n">
        <f aca="false">IF(OR(D163="n/a",E163="n/a"),"",E163-D163)</f>
        <v>0</v>
      </c>
      <c r="G163" s="22" t="str">
        <f aca="false">IF(AND(D163="n/a",E163="n/a"),"OK",IF(OR(D163="n/a",E163="n/a"),"Diferente",IF(ABS(E163-D163)&lt;=Premissas!$B$19*MAX(1,ABS(D163)),"OK","Diferente")))</f>
        <v>OK</v>
      </c>
    </row>
    <row r="164" customFormat="false" ht="15" hidden="false" customHeight="false" outlineLevel="0" collapsed="false">
      <c r="A164" s="4" t="s">
        <v>118</v>
      </c>
      <c r="B164" s="4" t="s">
        <v>119</v>
      </c>
      <c r="C164" s="4" t="n">
        <v>12</v>
      </c>
      <c r="D164" s="28" t="s">
        <v>170</v>
      </c>
      <c r="E164" s="29" t="str">
        <f aca="false">KPIs!N19</f>
        <v>n/a</v>
      </c>
      <c r="F164" s="26" t="str">
        <f aca="false">IF(OR(D164="n/a",E164="n/a"),"",E164-D164)</f>
        <v/>
      </c>
      <c r="G164" s="22" t="str">
        <f aca="false">IF(AND(D164="n/a",E164="n/a"),"OK",IF(OR(D164="n/a",E164="n/a"),"Diferente",IF(ABS(E164-D164)&lt;=Premissas!$B$19*MAX(1,ABS(D164)),"OK","Diferente")))</f>
        <v>OK</v>
      </c>
    </row>
    <row r="165" customFormat="false" ht="15" hidden="false" customHeight="false" outlineLevel="0" collapsed="false">
      <c r="A165" s="4" t="s">
        <v>120</v>
      </c>
      <c r="B165" s="4" t="s">
        <v>121</v>
      </c>
      <c r="C165" s="4" t="n">
        <v>1</v>
      </c>
      <c r="D165" s="28" t="n">
        <v>0.282561425672508</v>
      </c>
      <c r="E165" s="29" t="n">
        <f aca="false">KPIs!C20</f>
        <v>0.282561425672508</v>
      </c>
      <c r="F165" s="26" t="n">
        <f aca="false">IF(OR(D165="n/a",E165="n/a"),"",E165-D165)</f>
        <v>0</v>
      </c>
      <c r="G165" s="22" t="str">
        <f aca="false">IF(AND(D165="n/a",E165="n/a"),"OK",IF(OR(D165="n/a",E165="n/a"),"Diferente",IF(ABS(E165-D165)&lt;=Premissas!$B$19*MAX(1,ABS(D165)),"OK","Diferente")))</f>
        <v>OK</v>
      </c>
    </row>
    <row r="166" customFormat="false" ht="15" hidden="false" customHeight="false" outlineLevel="0" collapsed="false">
      <c r="A166" s="4" t="s">
        <v>120</v>
      </c>
      <c r="B166" s="4" t="s">
        <v>121</v>
      </c>
      <c r="C166" s="4" t="n">
        <v>2</v>
      </c>
      <c r="D166" s="28" t="n">
        <v>0.278253610845726</v>
      </c>
      <c r="E166" s="29" t="n">
        <f aca="false">KPIs!D20</f>
        <v>0.278253610845726</v>
      </c>
      <c r="F166" s="26" t="n">
        <f aca="false">IF(OR(D166="n/a",E166="n/a"),"",E166-D166)</f>
        <v>0</v>
      </c>
      <c r="G166" s="22" t="str">
        <f aca="false">IF(AND(D166="n/a",E166="n/a"),"OK",IF(OR(D166="n/a",E166="n/a"),"Diferente",IF(ABS(E166-D166)&lt;=Premissas!$B$19*MAX(1,ABS(D166)),"OK","Diferente")))</f>
        <v>OK</v>
      </c>
    </row>
    <row r="167" customFormat="false" ht="15" hidden="false" customHeight="false" outlineLevel="0" collapsed="false">
      <c r="A167" s="4" t="s">
        <v>120</v>
      </c>
      <c r="B167" s="4" t="s">
        <v>121</v>
      </c>
      <c r="C167" s="4" t="n">
        <v>3</v>
      </c>
      <c r="D167" s="28" t="n">
        <v>0.376489307030967</v>
      </c>
      <c r="E167" s="29" t="n">
        <f aca="false">KPIs!E20</f>
        <v>0.376489307030967</v>
      </c>
      <c r="F167" s="26" t="n">
        <f aca="false">IF(OR(D167="n/a",E167="n/a"),"",E167-D167)</f>
        <v>0</v>
      </c>
      <c r="G167" s="22" t="str">
        <f aca="false">IF(AND(D167="n/a",E167="n/a"),"OK",IF(OR(D167="n/a",E167="n/a"),"Diferente",IF(ABS(E167-D167)&lt;=Premissas!$B$19*MAX(1,ABS(D167)),"OK","Diferente")))</f>
        <v>OK</v>
      </c>
    </row>
    <row r="168" customFormat="false" ht="15" hidden="false" customHeight="false" outlineLevel="0" collapsed="false">
      <c r="A168" s="4" t="s">
        <v>120</v>
      </c>
      <c r="B168" s="4" t="s">
        <v>121</v>
      </c>
      <c r="C168" s="4" t="n">
        <v>4</v>
      </c>
      <c r="D168" s="28" t="n">
        <v>0.376905780612782</v>
      </c>
      <c r="E168" s="29" t="n">
        <f aca="false">KPIs!F20</f>
        <v>0.376905780612782</v>
      </c>
      <c r="F168" s="26" t="n">
        <f aca="false">IF(OR(D168="n/a",E168="n/a"),"",E168-D168)</f>
        <v>0</v>
      </c>
      <c r="G168" s="22" t="str">
        <f aca="false">IF(AND(D168="n/a",E168="n/a"),"OK",IF(OR(D168="n/a",E168="n/a"),"Diferente",IF(ABS(E168-D168)&lt;=Premissas!$B$19*MAX(1,ABS(D168)),"OK","Diferente")))</f>
        <v>OK</v>
      </c>
    </row>
    <row r="169" customFormat="false" ht="15" hidden="false" customHeight="false" outlineLevel="0" collapsed="false">
      <c r="A169" s="4" t="s">
        <v>120</v>
      </c>
      <c r="B169" s="4" t="s">
        <v>121</v>
      </c>
      <c r="C169" s="4" t="n">
        <v>5</v>
      </c>
      <c r="D169" s="28" t="n">
        <v>0.351578334224561</v>
      </c>
      <c r="E169" s="29" t="n">
        <f aca="false">KPIs!G20</f>
        <v>0.351578334224561</v>
      </c>
      <c r="F169" s="26" t="n">
        <f aca="false">IF(OR(D169="n/a",E169="n/a"),"",E169-D169)</f>
        <v>0</v>
      </c>
      <c r="G169" s="22" t="str">
        <f aca="false">IF(AND(D169="n/a",E169="n/a"),"OK",IF(OR(D169="n/a",E169="n/a"),"Diferente",IF(ABS(E169-D169)&lt;=Premissas!$B$19*MAX(1,ABS(D169)),"OK","Diferente")))</f>
        <v>OK</v>
      </c>
    </row>
    <row r="170" customFormat="false" ht="15" hidden="false" customHeight="false" outlineLevel="0" collapsed="false">
      <c r="A170" s="4" t="s">
        <v>120</v>
      </c>
      <c r="B170" s="4" t="s">
        <v>121</v>
      </c>
      <c r="C170" s="4" t="n">
        <v>6</v>
      </c>
      <c r="D170" s="28" t="n">
        <v>0.433075498819738</v>
      </c>
      <c r="E170" s="29" t="n">
        <f aca="false">KPIs!H20</f>
        <v>0.433075498819738</v>
      </c>
      <c r="F170" s="26" t="n">
        <f aca="false">IF(OR(D170="n/a",E170="n/a"),"",E170-D170)</f>
        <v>0</v>
      </c>
      <c r="G170" s="22" t="str">
        <f aca="false">IF(AND(D170="n/a",E170="n/a"),"OK",IF(OR(D170="n/a",E170="n/a"),"Diferente",IF(ABS(E170-D170)&lt;=Premissas!$B$19*MAX(1,ABS(D170)),"OK","Diferente")))</f>
        <v>OK</v>
      </c>
    </row>
    <row r="171" customFormat="false" ht="15" hidden="false" customHeight="false" outlineLevel="0" collapsed="false">
      <c r="A171" s="4" t="s">
        <v>120</v>
      </c>
      <c r="B171" s="4" t="s">
        <v>121</v>
      </c>
      <c r="C171" s="4" t="n">
        <v>7</v>
      </c>
      <c r="D171" s="28" t="n">
        <v>0.57016202907802</v>
      </c>
      <c r="E171" s="29" t="n">
        <f aca="false">KPIs!I20</f>
        <v>0.57016202907802</v>
      </c>
      <c r="F171" s="26" t="n">
        <f aca="false">IF(OR(D171="n/a",E171="n/a"),"",E171-D171)</f>
        <v>0</v>
      </c>
      <c r="G171" s="22" t="str">
        <f aca="false">IF(AND(D171="n/a",E171="n/a"),"OK",IF(OR(D171="n/a",E171="n/a"),"Diferente",IF(ABS(E171-D171)&lt;=Premissas!$B$19*MAX(1,ABS(D171)),"OK","Diferente")))</f>
        <v>OK</v>
      </c>
    </row>
    <row r="172" customFormat="false" ht="15" hidden="false" customHeight="false" outlineLevel="0" collapsed="false">
      <c r="A172" s="4" t="s">
        <v>120</v>
      </c>
      <c r="B172" s="4" t="s">
        <v>121</v>
      </c>
      <c r="C172" s="4" t="n">
        <v>8</v>
      </c>
      <c r="D172" s="28" t="n">
        <v>0.787138523627768</v>
      </c>
      <c r="E172" s="29" t="n">
        <f aca="false">KPIs!J20</f>
        <v>0.787138523627768</v>
      </c>
      <c r="F172" s="26" t="n">
        <f aca="false">IF(OR(D172="n/a",E172="n/a"),"",E172-D172)</f>
        <v>0</v>
      </c>
      <c r="G172" s="22" t="str">
        <f aca="false">IF(AND(D172="n/a",E172="n/a"),"OK",IF(OR(D172="n/a",E172="n/a"),"Diferente",IF(ABS(E172-D172)&lt;=Premissas!$B$19*MAX(1,ABS(D172)),"OK","Diferente")))</f>
        <v>OK</v>
      </c>
    </row>
    <row r="173" customFormat="false" ht="15" hidden="false" customHeight="false" outlineLevel="0" collapsed="false">
      <c r="A173" s="4" t="s">
        <v>120</v>
      </c>
      <c r="B173" s="4" t="s">
        <v>121</v>
      </c>
      <c r="C173" s="4" t="n">
        <v>9</v>
      </c>
      <c r="D173" s="28" t="n">
        <v>0.979989343624825</v>
      </c>
      <c r="E173" s="29" t="n">
        <f aca="false">KPIs!K20</f>
        <v>0.979989343624825</v>
      </c>
      <c r="F173" s="26" t="n">
        <f aca="false">IF(OR(D173="n/a",E173="n/a"),"",E173-D173)</f>
        <v>0</v>
      </c>
      <c r="G173" s="22" t="str">
        <f aca="false">IF(AND(D173="n/a",E173="n/a"),"OK",IF(OR(D173="n/a",E173="n/a"),"Diferente",IF(ABS(E173-D173)&lt;=Premissas!$B$19*MAX(1,ABS(D173)),"OK","Diferente")))</f>
        <v>OK</v>
      </c>
    </row>
    <row r="174" customFormat="false" ht="15" hidden="false" customHeight="false" outlineLevel="0" collapsed="false">
      <c r="A174" s="4" t="s">
        <v>120</v>
      </c>
      <c r="B174" s="4" t="s">
        <v>121</v>
      </c>
      <c r="C174" s="4" t="n">
        <v>10</v>
      </c>
      <c r="D174" s="28" t="n">
        <v>1.31739077230345</v>
      </c>
      <c r="E174" s="29" t="n">
        <f aca="false">KPIs!L20</f>
        <v>1.31739077230345</v>
      </c>
      <c r="F174" s="26" t="n">
        <f aca="false">IF(OR(D174="n/a",E174="n/a"),"",E174-D174)</f>
        <v>0</v>
      </c>
      <c r="G174" s="22" t="str">
        <f aca="false">IF(AND(D174="n/a",E174="n/a"),"OK",IF(OR(D174="n/a",E174="n/a"),"Diferente",IF(ABS(E174-D174)&lt;=Premissas!$B$19*MAX(1,ABS(D174)),"OK","Diferente")))</f>
        <v>OK</v>
      </c>
    </row>
    <row r="175" customFormat="false" ht="15" hidden="false" customHeight="false" outlineLevel="0" collapsed="false">
      <c r="A175" s="4" t="s">
        <v>120</v>
      </c>
      <c r="B175" s="4" t="s">
        <v>121</v>
      </c>
      <c r="C175" s="4" t="n">
        <v>11</v>
      </c>
      <c r="D175" s="28" t="n">
        <v>1.81651467207302</v>
      </c>
      <c r="E175" s="29" t="n">
        <f aca="false">KPIs!M20</f>
        <v>1.81651467207302</v>
      </c>
      <c r="F175" s="26" t="n">
        <f aca="false">IF(OR(D175="n/a",E175="n/a"),"",E175-D175)</f>
        <v>0</v>
      </c>
      <c r="G175" s="22" t="str">
        <f aca="false">IF(AND(D175="n/a",E175="n/a"),"OK",IF(OR(D175="n/a",E175="n/a"),"Diferente",IF(ABS(E175-D175)&lt;=Premissas!$B$19*MAX(1,ABS(D175)),"OK","Diferente")))</f>
        <v>OK</v>
      </c>
    </row>
    <row r="176" customFormat="false" ht="15" hidden="false" customHeight="false" outlineLevel="0" collapsed="false">
      <c r="A176" s="4" t="s">
        <v>120</v>
      </c>
      <c r="B176" s="4" t="s">
        <v>121</v>
      </c>
      <c r="C176" s="4" t="n">
        <v>12</v>
      </c>
      <c r="D176" s="28" t="s">
        <v>170</v>
      </c>
      <c r="E176" s="29" t="str">
        <f aca="false">KPIs!N20</f>
        <v>n/a</v>
      </c>
      <c r="F176" s="26" t="str">
        <f aca="false">IF(OR(D176="n/a",E176="n/a"),"",E176-D176)</f>
        <v/>
      </c>
      <c r="G176" s="22" t="str">
        <f aca="false">IF(AND(D176="n/a",E176="n/a"),"OK",IF(OR(D176="n/a",E176="n/a"),"Diferente",IF(ABS(E176-D176)&lt;=Premissas!$B$19*MAX(1,ABS(D176)),"OK","Diferente")))</f>
        <v>OK</v>
      </c>
    </row>
    <row r="177" customFormat="false" ht="15" hidden="false" customHeight="false" outlineLevel="0" collapsed="false">
      <c r="A177" s="4" t="s">
        <v>122</v>
      </c>
      <c r="B177" s="4" t="s">
        <v>123</v>
      </c>
      <c r="C177" s="4" t="n">
        <v>1</v>
      </c>
      <c r="D177" s="11" t="n">
        <v>993895173.515176</v>
      </c>
      <c r="E177" s="16" t="n">
        <f aca="false">KPIs!C21</f>
        <v>993895173.515176</v>
      </c>
      <c r="F177" s="26" t="n">
        <f aca="false">IF(OR(D177="n/a",E177="n/a"),"",E177-D177)</f>
        <v>0</v>
      </c>
      <c r="G177" s="22" t="str">
        <f aca="false">IF(AND(D177="n/a",E177="n/a"),"OK",IF(OR(D177="n/a",E177="n/a"),"Diferente",IF(ABS(E177-D177)&lt;=Premissas!$B$19*MAX(1,ABS(D177)),"OK","Diferente")))</f>
        <v>OK</v>
      </c>
    </row>
    <row r="178" customFormat="false" ht="15" hidden="false" customHeight="false" outlineLevel="0" collapsed="false">
      <c r="A178" s="4" t="s">
        <v>122</v>
      </c>
      <c r="B178" s="4" t="s">
        <v>123</v>
      </c>
      <c r="C178" s="4" t="n">
        <v>2</v>
      </c>
      <c r="D178" s="11" t="n">
        <v>538657729.462808</v>
      </c>
      <c r="E178" s="16" t="n">
        <f aca="false">KPIs!D21</f>
        <v>538657729.462808</v>
      </c>
      <c r="F178" s="26" t="n">
        <f aca="false">IF(OR(D178="n/a",E178="n/a"),"",E178-D178)</f>
        <v>0</v>
      </c>
      <c r="G178" s="22" t="str">
        <f aca="false">IF(AND(D178="n/a",E178="n/a"),"OK",IF(OR(D178="n/a",E178="n/a"),"Diferente",IF(ABS(E178-D178)&lt;=Premissas!$B$19*MAX(1,ABS(D178)),"OK","Diferente")))</f>
        <v>OK</v>
      </c>
    </row>
    <row r="179" customFormat="false" ht="15" hidden="false" customHeight="false" outlineLevel="0" collapsed="false">
      <c r="A179" s="4" t="s">
        <v>122</v>
      </c>
      <c r="B179" s="4" t="s">
        <v>123</v>
      </c>
      <c r="C179" s="4" t="n">
        <v>3</v>
      </c>
      <c r="D179" s="11" t="n">
        <v>-308237963.875854</v>
      </c>
      <c r="E179" s="16" t="n">
        <f aca="false">KPIs!E21</f>
        <v>-308237963.875854</v>
      </c>
      <c r="F179" s="26" t="n">
        <f aca="false">IF(OR(D179="n/a",E179="n/a"),"",E179-D179)</f>
        <v>0</v>
      </c>
      <c r="G179" s="22" t="str">
        <f aca="false">IF(AND(D179="n/a",E179="n/a"),"OK",IF(OR(D179="n/a",E179="n/a"),"Diferente",IF(ABS(E179-D179)&lt;=Premissas!$B$19*MAX(1,ABS(D179)),"OK","Diferente")))</f>
        <v>OK</v>
      </c>
    </row>
    <row r="180" customFormat="false" ht="15" hidden="false" customHeight="false" outlineLevel="0" collapsed="false">
      <c r="A180" s="4" t="s">
        <v>122</v>
      </c>
      <c r="B180" s="4" t="s">
        <v>123</v>
      </c>
      <c r="C180" s="4" t="n">
        <v>4</v>
      </c>
      <c r="D180" s="11" t="n">
        <v>-882614890.672941</v>
      </c>
      <c r="E180" s="16" t="n">
        <f aca="false">KPIs!F21</f>
        <v>-882614890.672941</v>
      </c>
      <c r="F180" s="26" t="n">
        <f aca="false">IF(OR(D180="n/a",E180="n/a"),"",E180-D180)</f>
        <v>0</v>
      </c>
      <c r="G180" s="22" t="str">
        <f aca="false">IF(AND(D180="n/a",E180="n/a"),"OK",IF(OR(D180="n/a",E180="n/a"),"Diferente",IF(ABS(E180-D180)&lt;=Premissas!$B$19*MAX(1,ABS(D180)),"OK","Diferente")))</f>
        <v>OK</v>
      </c>
    </row>
    <row r="181" customFormat="false" ht="15" hidden="false" customHeight="false" outlineLevel="0" collapsed="false">
      <c r="A181" s="4" t="s">
        <v>122</v>
      </c>
      <c r="B181" s="4" t="s">
        <v>123</v>
      </c>
      <c r="C181" s="4" t="n">
        <v>5</v>
      </c>
      <c r="D181" s="11" t="n">
        <v>-796097353.446492</v>
      </c>
      <c r="E181" s="16" t="n">
        <f aca="false">KPIs!G21</f>
        <v>-796097353.446492</v>
      </c>
      <c r="F181" s="26" t="n">
        <f aca="false">IF(OR(D181="n/a",E181="n/a"),"",E181-D181)</f>
        <v>0</v>
      </c>
      <c r="G181" s="22" t="str">
        <f aca="false">IF(AND(D181="n/a",E181="n/a"),"OK",IF(OR(D181="n/a",E181="n/a"),"Diferente",IF(ABS(E181-D181)&lt;=Premissas!$B$19*MAX(1,ABS(D181)),"OK","Diferente")))</f>
        <v>OK</v>
      </c>
    </row>
    <row r="182" customFormat="false" ht="15" hidden="false" customHeight="false" outlineLevel="0" collapsed="false">
      <c r="A182" s="4" t="s">
        <v>122</v>
      </c>
      <c r="B182" s="4" t="s">
        <v>123</v>
      </c>
      <c r="C182" s="4" t="n">
        <v>6</v>
      </c>
      <c r="D182" s="11" t="n">
        <v>-965740338.687405</v>
      </c>
      <c r="E182" s="16" t="n">
        <f aca="false">KPIs!H21</f>
        <v>-965740338.687405</v>
      </c>
      <c r="F182" s="26" t="n">
        <f aca="false">IF(OR(D182="n/a",E182="n/a"),"",E182-D182)</f>
        <v>0</v>
      </c>
      <c r="G182" s="22" t="str">
        <f aca="false">IF(AND(D182="n/a",E182="n/a"),"OK",IF(OR(D182="n/a",E182="n/a"),"Diferente",IF(ABS(E182-D182)&lt;=Premissas!$B$19*MAX(1,ABS(D182)),"OK","Diferente")))</f>
        <v>OK</v>
      </c>
    </row>
    <row r="183" customFormat="false" ht="15" hidden="false" customHeight="false" outlineLevel="0" collapsed="false">
      <c r="A183" s="4" t="s">
        <v>122</v>
      </c>
      <c r="B183" s="4" t="s">
        <v>123</v>
      </c>
      <c r="C183" s="4" t="n">
        <v>7</v>
      </c>
      <c r="D183" s="11" t="n">
        <v>-665754965.974792</v>
      </c>
      <c r="E183" s="16" t="n">
        <f aca="false">KPIs!I21</f>
        <v>-665754965.974792</v>
      </c>
      <c r="F183" s="26" t="n">
        <f aca="false">IF(OR(D183="n/a",E183="n/a"),"",E183-D183)</f>
        <v>0</v>
      </c>
      <c r="G183" s="22" t="str">
        <f aca="false">IF(AND(D183="n/a",E183="n/a"),"OK",IF(OR(D183="n/a",E183="n/a"),"Diferente",IF(ABS(E183-D183)&lt;=Premissas!$B$19*MAX(1,ABS(D183)),"OK","Diferente")))</f>
        <v>OK</v>
      </c>
    </row>
    <row r="184" customFormat="false" ht="15" hidden="false" customHeight="false" outlineLevel="0" collapsed="false">
      <c r="A184" s="4" t="s">
        <v>122</v>
      </c>
      <c r="B184" s="4" t="s">
        <v>123</v>
      </c>
      <c r="C184" s="4" t="n">
        <v>8</v>
      </c>
      <c r="D184" s="11" t="n">
        <v>-315859614.08048</v>
      </c>
      <c r="E184" s="16" t="n">
        <f aca="false">KPIs!J21</f>
        <v>-315859614.08048</v>
      </c>
      <c r="F184" s="26" t="n">
        <f aca="false">IF(OR(D184="n/a",E184="n/a"),"",E184-D184)</f>
        <v>0</v>
      </c>
      <c r="G184" s="22" t="str">
        <f aca="false">IF(AND(D184="n/a",E184="n/a"),"OK",IF(OR(D184="n/a",E184="n/a"),"Diferente",IF(ABS(E184-D184)&lt;=Premissas!$B$19*MAX(1,ABS(D184)),"OK","Diferente")))</f>
        <v>OK</v>
      </c>
    </row>
    <row r="185" customFormat="false" ht="15" hidden="false" customHeight="false" outlineLevel="0" collapsed="false">
      <c r="A185" s="4" t="s">
        <v>122</v>
      </c>
      <c r="B185" s="4" t="s">
        <v>123</v>
      </c>
      <c r="C185" s="4" t="n">
        <v>9</v>
      </c>
      <c r="D185" s="11" t="n">
        <v>151142700.97383</v>
      </c>
      <c r="E185" s="16" t="n">
        <f aca="false">KPIs!K21</f>
        <v>151142700.97383</v>
      </c>
      <c r="F185" s="26" t="n">
        <f aca="false">IF(OR(D185="n/a",E185="n/a"),"",E185-D185)</f>
        <v>0</v>
      </c>
      <c r="G185" s="22" t="str">
        <f aca="false">IF(AND(D185="n/a",E185="n/a"),"OK",IF(OR(D185="n/a",E185="n/a"),"Diferente",IF(ABS(E185-D185)&lt;=Premissas!$B$19*MAX(1,ABS(D185)),"OK","Diferente")))</f>
        <v>OK</v>
      </c>
    </row>
    <row r="186" customFormat="false" ht="15" hidden="false" customHeight="false" outlineLevel="0" collapsed="false">
      <c r="A186" s="4" t="s">
        <v>122</v>
      </c>
      <c r="B186" s="4" t="s">
        <v>123</v>
      </c>
      <c r="C186" s="4" t="n">
        <v>10</v>
      </c>
      <c r="D186" s="11" t="n">
        <v>1094955242.151</v>
      </c>
      <c r="E186" s="16" t="n">
        <f aca="false">KPIs!L21</f>
        <v>1094955242.151</v>
      </c>
      <c r="F186" s="26" t="n">
        <f aca="false">IF(OR(D186="n/a",E186="n/a"),"",E186-D186)</f>
        <v>0</v>
      </c>
      <c r="G186" s="22" t="str">
        <f aca="false">IF(AND(D186="n/a",E186="n/a"),"OK",IF(OR(D186="n/a",E186="n/a"),"Diferente",IF(ABS(E186-D186)&lt;=Premissas!$B$19*MAX(1,ABS(D186)),"OK","Diferente")))</f>
        <v>OK</v>
      </c>
    </row>
    <row r="187" customFormat="false" ht="15" hidden="false" customHeight="false" outlineLevel="0" collapsed="false">
      <c r="A187" s="4" t="s">
        <v>122</v>
      </c>
      <c r="B187" s="4" t="s">
        <v>123</v>
      </c>
      <c r="C187" s="4" t="n">
        <v>11</v>
      </c>
      <c r="D187" s="11" t="n">
        <v>1896704305.153</v>
      </c>
      <c r="E187" s="16" t="n">
        <f aca="false">KPIs!M21</f>
        <v>1896704305.153</v>
      </c>
      <c r="F187" s="26" t="n">
        <f aca="false">IF(OR(D187="n/a",E187="n/a"),"",E187-D187)</f>
        <v>0</v>
      </c>
      <c r="G187" s="22" t="str">
        <f aca="false">IF(AND(D187="n/a",E187="n/a"),"OK",IF(OR(D187="n/a",E187="n/a"),"Diferente",IF(ABS(E187-D187)&lt;=Premissas!$B$19*MAX(1,ABS(D187)),"OK","Diferente")))</f>
        <v>OK</v>
      </c>
    </row>
    <row r="188" customFormat="false" ht="15" hidden="false" customHeight="false" outlineLevel="0" collapsed="false">
      <c r="A188" s="4" t="s">
        <v>122</v>
      </c>
      <c r="B188" s="4" t="s">
        <v>123</v>
      </c>
      <c r="C188" s="4" t="n">
        <v>12</v>
      </c>
      <c r="D188" s="11" t="s">
        <v>170</v>
      </c>
      <c r="E188" s="16" t="str">
        <f aca="false">KPIs!N21</f>
        <v>n/a</v>
      </c>
      <c r="F188" s="26" t="str">
        <f aca="false">IF(OR(D188="n/a",E188="n/a"),"",E188-D188)</f>
        <v/>
      </c>
      <c r="G188" s="22" t="str">
        <f aca="false">IF(AND(D188="n/a",E188="n/a"),"OK",IF(OR(D188="n/a",E188="n/a"),"Diferente",IF(ABS(E188-D188)&lt;=Premissas!$B$19*MAX(1,ABS(D188)),"OK","Diferente")))</f>
        <v>OK</v>
      </c>
    </row>
    <row r="189" customFormat="false" ht="15" hidden="false" customHeight="false" outlineLevel="0" collapsed="false">
      <c r="A189" s="4" t="s">
        <v>125</v>
      </c>
      <c r="B189" s="4" t="s">
        <v>126</v>
      </c>
      <c r="C189" s="4" t="n">
        <v>1</v>
      </c>
      <c r="D189" s="11" t="n">
        <v>5928358999.93899</v>
      </c>
      <c r="E189" s="16" t="n">
        <f aca="false">KPIs!C23</f>
        <v>5928358999.93899</v>
      </c>
      <c r="F189" s="26" t="n">
        <f aca="false">IF(OR(D189="n/a",E189="n/a"),"",E189-D189)</f>
        <v>0</v>
      </c>
      <c r="G189" s="22" t="str">
        <f aca="false">IF(AND(D189="n/a",E189="n/a"),"OK",IF(OR(D189="n/a",E189="n/a"),"Diferente",IF(ABS(E189-D189)&lt;=Premissas!$B$19*MAX(1,ABS(D189)),"OK","Diferente")))</f>
        <v>OK</v>
      </c>
    </row>
    <row r="190" customFormat="false" ht="15" hidden="false" customHeight="false" outlineLevel="0" collapsed="false">
      <c r="A190" s="4" t="s">
        <v>125</v>
      </c>
      <c r="B190" s="4" t="s">
        <v>126</v>
      </c>
      <c r="C190" s="4" t="n">
        <v>2</v>
      </c>
      <c r="D190" s="11" t="n">
        <v>5977640534.00019</v>
      </c>
      <c r="E190" s="16" t="n">
        <f aca="false">KPIs!D23</f>
        <v>5977640534.00019</v>
      </c>
      <c r="F190" s="26" t="n">
        <f aca="false">IF(OR(D190="n/a",E190="n/a"),"",E190-D190)</f>
        <v>0</v>
      </c>
      <c r="G190" s="22" t="str">
        <f aca="false">IF(AND(D190="n/a",E190="n/a"),"OK",IF(OR(D190="n/a",E190="n/a"),"Diferente",IF(ABS(E190-D190)&lt;=Premissas!$B$19*MAX(1,ABS(D190)),"OK","Diferente")))</f>
        <v>OK</v>
      </c>
    </row>
    <row r="191" customFormat="false" ht="15" hidden="false" customHeight="false" outlineLevel="0" collapsed="false">
      <c r="A191" s="4" t="s">
        <v>125</v>
      </c>
      <c r="B191" s="4" t="s">
        <v>126</v>
      </c>
      <c r="C191" s="4" t="n">
        <v>3</v>
      </c>
      <c r="D191" s="11" t="n">
        <v>6018540448.40929</v>
      </c>
      <c r="E191" s="16" t="n">
        <f aca="false">KPIs!E23</f>
        <v>6018540448.40929</v>
      </c>
      <c r="F191" s="26" t="n">
        <f aca="false">IF(OR(D191="n/a",E191="n/a"),"",E191-D191)</f>
        <v>0</v>
      </c>
      <c r="G191" s="22" t="str">
        <f aca="false">IF(AND(D191="n/a",E191="n/a"),"OK",IF(OR(D191="n/a",E191="n/a"),"Diferente",IF(ABS(E191-D191)&lt;=Premissas!$B$19*MAX(1,ABS(D191)),"OK","Diferente")))</f>
        <v>OK</v>
      </c>
    </row>
    <row r="192" customFormat="false" ht="15" hidden="false" customHeight="false" outlineLevel="0" collapsed="false">
      <c r="A192" s="4" t="s">
        <v>125</v>
      </c>
      <c r="B192" s="4" t="s">
        <v>126</v>
      </c>
      <c r="C192" s="4" t="n">
        <v>4</v>
      </c>
      <c r="D192" s="11" t="n">
        <v>4810465464.43719</v>
      </c>
      <c r="E192" s="16" t="n">
        <f aca="false">KPIs!F23</f>
        <v>4810465464.43719</v>
      </c>
      <c r="F192" s="26" t="n">
        <f aca="false">IF(OR(D192="n/a",E192="n/a"),"",E192-D192)</f>
        <v>0</v>
      </c>
      <c r="G192" s="22" t="str">
        <f aca="false">IF(AND(D192="n/a",E192="n/a"),"OK",IF(OR(D192="n/a",E192="n/a"),"Diferente",IF(ABS(E192-D192)&lt;=Premissas!$B$19*MAX(1,ABS(D192)),"OK","Diferente")))</f>
        <v>OK</v>
      </c>
    </row>
    <row r="193" customFormat="false" ht="15" hidden="false" customHeight="false" outlineLevel="0" collapsed="false">
      <c r="A193" s="4" t="s">
        <v>125</v>
      </c>
      <c r="B193" s="4" t="s">
        <v>126</v>
      </c>
      <c r="C193" s="4" t="n">
        <v>5</v>
      </c>
      <c r="D193" s="11" t="n">
        <v>3609042509.40978</v>
      </c>
      <c r="E193" s="16" t="n">
        <f aca="false">KPIs!G23</f>
        <v>3609042509.40978</v>
      </c>
      <c r="F193" s="26" t="n">
        <f aca="false">IF(OR(D193="n/a",E193="n/a"),"",E193-D193)</f>
        <v>0</v>
      </c>
      <c r="G193" s="22" t="str">
        <f aca="false">IF(AND(D193="n/a",E193="n/a"),"OK",IF(OR(D193="n/a",E193="n/a"),"Diferente",IF(ABS(E193-D193)&lt;=Premissas!$B$19*MAX(1,ABS(D193)),"OK","Diferente")))</f>
        <v>OK</v>
      </c>
    </row>
    <row r="194" customFormat="false" ht="15" hidden="false" customHeight="false" outlineLevel="0" collapsed="false">
      <c r="A194" s="4" t="s">
        <v>125</v>
      </c>
      <c r="B194" s="4" t="s">
        <v>126</v>
      </c>
      <c r="C194" s="4" t="n">
        <v>6</v>
      </c>
      <c r="D194" s="11" t="n">
        <v>2750565410.84887</v>
      </c>
      <c r="E194" s="16" t="n">
        <f aca="false">KPIs!H23</f>
        <v>2750565410.84887</v>
      </c>
      <c r="F194" s="26" t="n">
        <f aca="false">IF(OR(D194="n/a",E194="n/a"),"",E194-D194)</f>
        <v>0</v>
      </c>
      <c r="G194" s="22" t="str">
        <f aca="false">IF(AND(D194="n/a",E194="n/a"),"OK",IF(OR(D194="n/a",E194="n/a"),"Diferente",IF(ABS(E194-D194)&lt;=Premissas!$B$19*MAX(1,ABS(D194)),"OK","Diferente")))</f>
        <v>OK</v>
      </c>
    </row>
    <row r="195" customFormat="false" ht="15" hidden="false" customHeight="false" outlineLevel="0" collapsed="false">
      <c r="A195" s="4" t="s">
        <v>125</v>
      </c>
      <c r="B195" s="4" t="s">
        <v>126</v>
      </c>
      <c r="C195" s="4" t="n">
        <v>7</v>
      </c>
      <c r="D195" s="11" t="n">
        <v>1891551137.50308</v>
      </c>
      <c r="E195" s="16" t="n">
        <f aca="false">KPIs!I23</f>
        <v>1891551137.50308</v>
      </c>
      <c r="F195" s="26" t="n">
        <f aca="false">IF(OR(D195="n/a",E195="n/a"),"",E195-D195)</f>
        <v>0</v>
      </c>
      <c r="G195" s="22" t="str">
        <f aca="false">IF(AND(D195="n/a",E195="n/a"),"OK",IF(OR(D195="n/a",E195="n/a"),"Diferente",IF(ABS(E195-D195)&lt;=Premissas!$B$19*MAX(1,ABS(D195)),"OK","Diferente")))</f>
        <v>OK</v>
      </c>
    </row>
    <row r="196" customFormat="false" ht="15" hidden="false" customHeight="false" outlineLevel="0" collapsed="false">
      <c r="A196" s="4" t="s">
        <v>125</v>
      </c>
      <c r="B196" s="4" t="s">
        <v>126</v>
      </c>
      <c r="C196" s="4" t="n">
        <v>8</v>
      </c>
      <c r="D196" s="11" t="n">
        <v>1566933664.70734</v>
      </c>
      <c r="E196" s="16" t="n">
        <f aca="false">KPIs!J23</f>
        <v>1566933664.70734</v>
      </c>
      <c r="F196" s="26" t="n">
        <f aca="false">IF(OR(D196="n/a",E196="n/a"),"",E196-D196)</f>
        <v>0</v>
      </c>
      <c r="G196" s="22" t="str">
        <f aca="false">IF(AND(D196="n/a",E196="n/a"),"OK",IF(OR(D196="n/a",E196="n/a"),"Diferente",IF(ABS(E196-D196)&lt;=Premissas!$B$19*MAX(1,ABS(D196)),"OK","Diferente")))</f>
        <v>OK</v>
      </c>
    </row>
    <row r="197" customFormat="false" ht="15" hidden="false" customHeight="false" outlineLevel="0" collapsed="false">
      <c r="A197" s="4" t="s">
        <v>125</v>
      </c>
      <c r="B197" s="4" t="s">
        <v>126</v>
      </c>
      <c r="C197" s="4" t="n">
        <v>9</v>
      </c>
      <c r="D197" s="11" t="n">
        <v>1221559576.0025</v>
      </c>
      <c r="E197" s="16" t="n">
        <f aca="false">KPIs!K23</f>
        <v>1221559576.0025</v>
      </c>
      <c r="F197" s="26" t="n">
        <f aca="false">IF(OR(D197="n/a",E197="n/a"),"",E197-D197)</f>
        <v>0</v>
      </c>
      <c r="G197" s="22" t="str">
        <f aca="false">IF(AND(D197="n/a",E197="n/a"),"OK",IF(OR(D197="n/a",E197="n/a"),"Diferente",IF(ABS(E197-D197)&lt;=Premissas!$B$19*MAX(1,ABS(D197)),"OK","Diferente")))</f>
        <v>OK</v>
      </c>
    </row>
    <row r="198" customFormat="false" ht="15" hidden="false" customHeight="false" outlineLevel="0" collapsed="false">
      <c r="A198" s="4" t="s">
        <v>125</v>
      </c>
      <c r="B198" s="4" t="s">
        <v>126</v>
      </c>
      <c r="C198" s="4" t="n">
        <v>10</v>
      </c>
      <c r="D198" s="11" t="n">
        <v>853027880.21927</v>
      </c>
      <c r="E198" s="16" t="n">
        <f aca="false">KPIs!L23</f>
        <v>853027880.21927</v>
      </c>
      <c r="F198" s="26" t="n">
        <f aca="false">IF(OR(D198="n/a",E198="n/a"),"",E198-D198)</f>
        <v>0</v>
      </c>
      <c r="G198" s="22" t="str">
        <f aca="false">IF(AND(D198="n/a",E198="n/a"),"OK",IF(OR(D198="n/a",E198="n/a"),"Diferente",IF(ABS(E198-D198)&lt;=Premissas!$B$19*MAX(1,ABS(D198)),"OK","Diferente")))</f>
        <v>OK</v>
      </c>
    </row>
    <row r="199" customFormat="false" ht="15" hidden="false" customHeight="false" outlineLevel="0" collapsed="false">
      <c r="A199" s="4" t="s">
        <v>125</v>
      </c>
      <c r="B199" s="4" t="s">
        <v>126</v>
      </c>
      <c r="C199" s="4" t="n">
        <v>11</v>
      </c>
      <c r="D199" s="11" t="n">
        <v>461272849.35534</v>
      </c>
      <c r="E199" s="16" t="n">
        <f aca="false">KPIs!M23</f>
        <v>461272849.35534</v>
      </c>
      <c r="F199" s="26" t="n">
        <f aca="false">IF(OR(D199="n/a",E199="n/a"),"",E199-D199)</f>
        <v>0</v>
      </c>
      <c r="G199" s="22" t="str">
        <f aca="false">IF(AND(D199="n/a",E199="n/a"),"OK",IF(OR(D199="n/a",E199="n/a"),"Diferente",IF(ABS(E199-D199)&lt;=Premissas!$B$19*MAX(1,ABS(D199)),"OK","Diferente")))</f>
        <v>OK</v>
      </c>
    </row>
    <row r="200" customFormat="false" ht="15" hidden="false" customHeight="false" outlineLevel="0" collapsed="false">
      <c r="A200" s="4" t="s">
        <v>125</v>
      </c>
      <c r="B200" s="4" t="s">
        <v>126</v>
      </c>
      <c r="C200" s="4" t="n">
        <v>12</v>
      </c>
      <c r="D200" s="11" t="n">
        <v>2.76E-007</v>
      </c>
      <c r="E200" s="16" t="n">
        <f aca="false">KPIs!N23</f>
        <v>2.76E-007</v>
      </c>
      <c r="F200" s="26" t="n">
        <f aca="false">IF(OR(D200="n/a",E200="n/a"),"",E200-D200)</f>
        <v>0</v>
      </c>
      <c r="G200" s="22" t="str">
        <f aca="false">IF(AND(D200="n/a",E200="n/a"),"OK",IF(OR(D200="n/a",E200="n/a"),"Diferente",IF(ABS(E200-D200)&lt;=Premissas!$B$19*MAX(1,ABS(D200)),"OK","Diferente")))</f>
        <v>OK</v>
      </c>
    </row>
    <row r="201" customFormat="false" ht="15" hidden="false" customHeight="false" outlineLevel="0" collapsed="false">
      <c r="A201" s="4" t="s">
        <v>127</v>
      </c>
      <c r="B201" s="4" t="s">
        <v>128</v>
      </c>
      <c r="C201" s="4" t="n">
        <v>1</v>
      </c>
      <c r="D201" s="27" t="n">
        <v>0.810515364671625</v>
      </c>
      <c r="E201" s="7" t="n">
        <f aca="false">KPIs!C24</f>
        <v>0.810515364671625</v>
      </c>
      <c r="F201" s="26" t="n">
        <f aca="false">IF(OR(D201="n/a",E201="n/a"),"",E201-D201)</f>
        <v>0</v>
      </c>
      <c r="G201" s="22" t="str">
        <f aca="false">IF(AND(D201="n/a",E201="n/a"),"OK",IF(OR(D201="n/a",E201="n/a"),"Diferente",IF(ABS(E201-D201)&lt;=Premissas!$B$19*MAX(1,ABS(D201)),"OK","Diferente")))</f>
        <v>OK</v>
      </c>
    </row>
    <row r="202" customFormat="false" ht="15" hidden="false" customHeight="false" outlineLevel="0" collapsed="false">
      <c r="A202" s="4" t="s">
        <v>127</v>
      </c>
      <c r="B202" s="4" t="s">
        <v>128</v>
      </c>
      <c r="C202" s="4" t="n">
        <v>2</v>
      </c>
      <c r="D202" s="27" t="n">
        <v>0.858858097107284</v>
      </c>
      <c r="E202" s="7" t="n">
        <f aca="false">KPIs!D24</f>
        <v>0.858858097107284</v>
      </c>
      <c r="F202" s="26" t="n">
        <f aca="false">IF(OR(D202="n/a",E202="n/a"),"",E202-D202)</f>
        <v>0</v>
      </c>
      <c r="G202" s="22" t="str">
        <f aca="false">IF(AND(D202="n/a",E202="n/a"),"OK",IF(OR(D202="n/a",E202="n/a"),"Diferente",IF(ABS(E202-D202)&lt;=Premissas!$B$19*MAX(1,ABS(D202)),"OK","Diferente")))</f>
        <v>OK</v>
      </c>
    </row>
    <row r="203" customFormat="false" ht="15" hidden="false" customHeight="false" outlineLevel="0" collapsed="false">
      <c r="A203" s="4" t="s">
        <v>127</v>
      </c>
      <c r="B203" s="4" t="s">
        <v>128</v>
      </c>
      <c r="C203" s="4" t="n">
        <v>3</v>
      </c>
      <c r="D203" s="27" t="n">
        <v>0.859893731416508</v>
      </c>
      <c r="E203" s="7" t="n">
        <f aca="false">KPIs!E24</f>
        <v>0.859893731416508</v>
      </c>
      <c r="F203" s="26" t="n">
        <f aca="false">IF(OR(D203="n/a",E203="n/a"),"",E203-D203)</f>
        <v>0</v>
      </c>
      <c r="G203" s="22" t="str">
        <f aca="false">IF(AND(D203="n/a",E203="n/a"),"OK",IF(OR(D203="n/a",E203="n/a"),"Diferente",IF(ABS(E203-D203)&lt;=Premissas!$B$19*MAX(1,ABS(D203)),"OK","Diferente")))</f>
        <v>OK</v>
      </c>
    </row>
    <row r="204" customFormat="false" ht="15" hidden="false" customHeight="false" outlineLevel="0" collapsed="false">
      <c r="A204" s="4" t="s">
        <v>127</v>
      </c>
      <c r="B204" s="4" t="s">
        <v>128</v>
      </c>
      <c r="C204" s="4" t="n">
        <v>4</v>
      </c>
      <c r="D204" s="27" t="n">
        <v>0.832845298180753</v>
      </c>
      <c r="E204" s="7" t="n">
        <f aca="false">KPIs!F24</f>
        <v>0.832845298180753</v>
      </c>
      <c r="F204" s="26" t="n">
        <f aca="false">IF(OR(D204="n/a",E204="n/a"),"",E204-D204)</f>
        <v>0</v>
      </c>
      <c r="G204" s="22" t="str">
        <f aca="false">IF(AND(D204="n/a",E204="n/a"),"OK",IF(OR(D204="n/a",E204="n/a"),"Diferente",IF(ABS(E204-D204)&lt;=Premissas!$B$19*MAX(1,ABS(D204)),"OK","Diferente")))</f>
        <v>OK</v>
      </c>
    </row>
    <row r="205" customFormat="false" ht="15" hidden="false" customHeight="false" outlineLevel="0" collapsed="false">
      <c r="A205" s="4" t="s">
        <v>127</v>
      </c>
      <c r="B205" s="4" t="s">
        <v>128</v>
      </c>
      <c r="C205" s="4" t="n">
        <v>5</v>
      </c>
      <c r="D205" s="27" t="n">
        <v>0.777529517424973</v>
      </c>
      <c r="E205" s="7" t="n">
        <f aca="false">KPIs!G24</f>
        <v>0.777529517424973</v>
      </c>
      <c r="F205" s="26" t="n">
        <f aca="false">IF(OR(D205="n/a",E205="n/a"),"",E205-D205)</f>
        <v>0</v>
      </c>
      <c r="G205" s="22" t="str">
        <f aca="false">IF(AND(D205="n/a",E205="n/a"),"OK",IF(OR(D205="n/a",E205="n/a"),"Diferente",IF(ABS(E205-D205)&lt;=Premissas!$B$19*MAX(1,ABS(D205)),"OK","Diferente")))</f>
        <v>OK</v>
      </c>
    </row>
    <row r="206" customFormat="false" ht="15" hidden="false" customHeight="false" outlineLevel="0" collapsed="false">
      <c r="A206" s="4" t="s">
        <v>127</v>
      </c>
      <c r="B206" s="4" t="s">
        <v>128</v>
      </c>
      <c r="C206" s="4" t="n">
        <v>6</v>
      </c>
      <c r="D206" s="27" t="n">
        <v>0.735578709197724</v>
      </c>
      <c r="E206" s="7" t="n">
        <f aca="false">KPIs!H24</f>
        <v>0.735578709197724</v>
      </c>
      <c r="F206" s="26" t="n">
        <f aca="false">IF(OR(D206="n/a",E206="n/a"),"",E206-D206)</f>
        <v>0</v>
      </c>
      <c r="G206" s="22" t="str">
        <f aca="false">IF(AND(D206="n/a",E206="n/a"),"OK",IF(OR(D206="n/a",E206="n/a"),"Diferente",IF(ABS(E206-D206)&lt;=Premissas!$B$19*MAX(1,ABS(D206)),"OK","Diferente")))</f>
        <v>OK</v>
      </c>
    </row>
    <row r="207" customFormat="false" ht="15" hidden="false" customHeight="false" outlineLevel="0" collapsed="false">
      <c r="A207" s="4" t="s">
        <v>127</v>
      </c>
      <c r="B207" s="4" t="s">
        <v>128</v>
      </c>
      <c r="C207" s="4" t="n">
        <v>7</v>
      </c>
      <c r="D207" s="27" t="n">
        <v>0.701537989244219</v>
      </c>
      <c r="E207" s="7" t="n">
        <f aca="false">KPIs!I24</f>
        <v>0.701537989244219</v>
      </c>
      <c r="F207" s="26" t="n">
        <f aca="false">IF(OR(D207="n/a",E207="n/a"),"",E207-D207)</f>
        <v>0</v>
      </c>
      <c r="G207" s="22" t="str">
        <f aca="false">IF(AND(D207="n/a",E207="n/a"),"OK",IF(OR(D207="n/a",E207="n/a"),"Diferente",IF(ABS(E207-D207)&lt;=Premissas!$B$19*MAX(1,ABS(D207)),"OK","Diferente")))</f>
        <v>OK</v>
      </c>
    </row>
    <row r="208" customFormat="false" ht="15" hidden="false" customHeight="false" outlineLevel="0" collapsed="false">
      <c r="A208" s="4" t="s">
        <v>127</v>
      </c>
      <c r="B208" s="4" t="s">
        <v>128</v>
      </c>
      <c r="C208" s="4" t="n">
        <v>8</v>
      </c>
      <c r="D208" s="27" t="n">
        <v>0.686140185499046</v>
      </c>
      <c r="E208" s="7" t="n">
        <f aca="false">KPIs!J24</f>
        <v>0.686140185499046</v>
      </c>
      <c r="F208" s="26" t="n">
        <f aca="false">IF(OR(D208="n/a",E208="n/a"),"",E208-D208)</f>
        <v>0</v>
      </c>
      <c r="G208" s="22" t="str">
        <f aca="false">IF(AND(D208="n/a",E208="n/a"),"OK",IF(OR(D208="n/a",E208="n/a"),"Diferente",IF(ABS(E208-D208)&lt;=Premissas!$B$19*MAX(1,ABS(D208)),"OK","Diferente")))</f>
        <v>OK</v>
      </c>
    </row>
    <row r="209" customFormat="false" ht="15" hidden="false" customHeight="false" outlineLevel="0" collapsed="false">
      <c r="A209" s="4" t="s">
        <v>127</v>
      </c>
      <c r="B209" s="4" t="s">
        <v>128</v>
      </c>
      <c r="C209" s="4" t="n">
        <v>9</v>
      </c>
      <c r="D209" s="27" t="n">
        <v>0.643018896426583</v>
      </c>
      <c r="E209" s="7" t="n">
        <f aca="false">KPIs!K24</f>
        <v>0.643018896426583</v>
      </c>
      <c r="F209" s="26" t="n">
        <f aca="false">IF(OR(D209="n/a",E209="n/a"),"",E209-D209)</f>
        <v>0</v>
      </c>
      <c r="G209" s="22" t="str">
        <f aca="false">IF(AND(D209="n/a",E209="n/a"),"OK",IF(OR(D209="n/a",E209="n/a"),"Diferente",IF(ABS(E209-D209)&lt;=Premissas!$B$19*MAX(1,ABS(D209)),"OK","Diferente")))</f>
        <v>OK</v>
      </c>
    </row>
    <row r="210" customFormat="false" ht="15" hidden="false" customHeight="false" outlineLevel="0" collapsed="false">
      <c r="A210" s="4" t="s">
        <v>127</v>
      </c>
      <c r="B210" s="4" t="s">
        <v>128</v>
      </c>
      <c r="C210" s="4" t="n">
        <v>10</v>
      </c>
      <c r="D210" s="27" t="n">
        <v>0.544865745528699</v>
      </c>
      <c r="E210" s="7" t="n">
        <f aca="false">KPIs!L24</f>
        <v>0.544865745528699</v>
      </c>
      <c r="F210" s="26" t="n">
        <f aca="false">IF(OR(D210="n/a",E210="n/a"),"",E210-D210)</f>
        <v>0</v>
      </c>
      <c r="G210" s="22" t="str">
        <f aca="false">IF(AND(D210="n/a",E210="n/a"),"OK",IF(OR(D210="n/a",E210="n/a"),"Diferente",IF(ABS(E210-D210)&lt;=Premissas!$B$19*MAX(1,ABS(D210)),"OK","Diferente")))</f>
        <v>OK</v>
      </c>
    </row>
    <row r="211" customFormat="false" ht="15" hidden="false" customHeight="false" outlineLevel="0" collapsed="false">
      <c r="A211" s="4" t="s">
        <v>127</v>
      </c>
      <c r="B211" s="4" t="s">
        <v>128</v>
      </c>
      <c r="C211" s="4" t="n">
        <v>11</v>
      </c>
      <c r="D211" s="27" t="n">
        <v>0.467350445219301</v>
      </c>
      <c r="E211" s="7" t="n">
        <f aca="false">KPIs!M24</f>
        <v>0.467350445219301</v>
      </c>
      <c r="F211" s="26" t="n">
        <f aca="false">IF(OR(D211="n/a",E211="n/a"),"",E211-D211)</f>
        <v>0</v>
      </c>
      <c r="G211" s="22" t="str">
        <f aca="false">IF(AND(D211="n/a",E211="n/a"),"OK",IF(OR(D211="n/a",E211="n/a"),"Diferente",IF(ABS(E211-D211)&lt;=Premissas!$B$19*MAX(1,ABS(D211)),"OK","Diferente")))</f>
        <v>OK</v>
      </c>
    </row>
    <row r="212" customFormat="false" ht="15" hidden="false" customHeight="false" outlineLevel="0" collapsed="false">
      <c r="A212" s="4" t="s">
        <v>127</v>
      </c>
      <c r="B212" s="4" t="s">
        <v>128</v>
      </c>
      <c r="C212" s="4" t="n">
        <v>12</v>
      </c>
      <c r="D212" s="27" t="s">
        <v>170</v>
      </c>
      <c r="E212" s="7" t="str">
        <f aca="false">KPIs!N24</f>
        <v>n/a</v>
      </c>
      <c r="F212" s="26" t="str">
        <f aca="false">IF(OR(D212="n/a",E212="n/a"),"",E212-D212)</f>
        <v/>
      </c>
      <c r="G212" s="22" t="str">
        <f aca="false">IF(AND(D212="n/a",E212="n/a"),"OK",IF(OR(D212="n/a",E212="n/a"),"Diferente",IF(ABS(E212-D212)&lt;=Premissas!$B$19*MAX(1,ABS(D212)),"OK","Diferente")))</f>
        <v>OK</v>
      </c>
    </row>
    <row r="213" customFormat="false" ht="15" hidden="false" customHeight="false" outlineLevel="0" collapsed="false">
      <c r="A213" s="4" t="s">
        <v>129</v>
      </c>
      <c r="B213" s="4" t="s">
        <v>130</v>
      </c>
      <c r="C213" s="4" t="n">
        <v>1</v>
      </c>
      <c r="D213" s="28" t="n">
        <v>4.2774727527492</v>
      </c>
      <c r="E213" s="29" t="n">
        <f aca="false">KPIs!C25</f>
        <v>4.2774727527492</v>
      </c>
      <c r="F213" s="26" t="n">
        <f aca="false">IF(OR(D213="n/a",E213="n/a"),"",E213-D213)</f>
        <v>0</v>
      </c>
      <c r="G213" s="22" t="str">
        <f aca="false">IF(AND(D213="n/a",E213="n/a"),"OK",IF(OR(D213="n/a",E213="n/a"),"Diferente",IF(ABS(E213-D213)&lt;=Premissas!$B$19*MAX(1,ABS(D213)),"OK","Diferente")))</f>
        <v>OK</v>
      </c>
    </row>
    <row r="214" customFormat="false" ht="15" hidden="false" customHeight="false" outlineLevel="0" collapsed="false">
      <c r="A214" s="4" t="s">
        <v>129</v>
      </c>
      <c r="B214" s="4" t="s">
        <v>130</v>
      </c>
      <c r="C214" s="4" t="n">
        <v>2</v>
      </c>
      <c r="D214" s="28" t="n">
        <v>6.08506814432609</v>
      </c>
      <c r="E214" s="29" t="n">
        <f aca="false">KPIs!D25</f>
        <v>6.08506814432609</v>
      </c>
      <c r="F214" s="26" t="n">
        <f aca="false">IF(OR(D214="n/a",E214="n/a"),"",E214-D214)</f>
        <v>0</v>
      </c>
      <c r="G214" s="22" t="str">
        <f aca="false">IF(AND(D214="n/a",E214="n/a"),"OK",IF(OR(D214="n/a",E214="n/a"),"Diferente",IF(ABS(E214-D214)&lt;=Premissas!$B$19*MAX(1,ABS(D214)),"OK","Diferente")))</f>
        <v>OK</v>
      </c>
    </row>
    <row r="215" customFormat="false" ht="15" hidden="false" customHeight="false" outlineLevel="0" collapsed="false">
      <c r="A215" s="4" t="s">
        <v>129</v>
      </c>
      <c r="B215" s="4" t="s">
        <v>130</v>
      </c>
      <c r="C215" s="4" t="n">
        <v>3</v>
      </c>
      <c r="D215" s="28" t="n">
        <v>6.13743938886134</v>
      </c>
      <c r="E215" s="29" t="n">
        <f aca="false">KPIs!E25</f>
        <v>6.13743938886134</v>
      </c>
      <c r="F215" s="26" t="n">
        <f aca="false">IF(OR(D215="n/a",E215="n/a"),"",E215-D215)</f>
        <v>0</v>
      </c>
      <c r="G215" s="22" t="str">
        <f aca="false">IF(AND(D215="n/a",E215="n/a"),"OK",IF(OR(D215="n/a",E215="n/a"),"Diferente",IF(ABS(E215-D215)&lt;=Premissas!$B$19*MAX(1,ABS(D215)),"OK","Diferente")))</f>
        <v>OK</v>
      </c>
    </row>
    <row r="216" customFormat="false" ht="15" hidden="false" customHeight="false" outlineLevel="0" collapsed="false">
      <c r="A216" s="4" t="s">
        <v>129</v>
      </c>
      <c r="B216" s="4" t="s">
        <v>130</v>
      </c>
      <c r="C216" s="4" t="n">
        <v>4</v>
      </c>
      <c r="D216" s="28" t="n">
        <v>4.98248203089345</v>
      </c>
      <c r="E216" s="29" t="n">
        <f aca="false">KPIs!F25</f>
        <v>4.98248203089345</v>
      </c>
      <c r="F216" s="26" t="n">
        <f aca="false">IF(OR(D216="n/a",E216="n/a"),"",E216-D216)</f>
        <v>0</v>
      </c>
      <c r="G216" s="22" t="str">
        <f aca="false">IF(AND(D216="n/a",E216="n/a"),"OK",IF(OR(D216="n/a",E216="n/a"),"Diferente",IF(ABS(E216-D216)&lt;=Premissas!$B$19*MAX(1,ABS(D216)),"OK","Diferente")))</f>
        <v>OK</v>
      </c>
    </row>
    <row r="217" customFormat="false" ht="15" hidden="false" customHeight="false" outlineLevel="0" collapsed="false">
      <c r="A217" s="4" t="s">
        <v>129</v>
      </c>
      <c r="B217" s="4" t="s">
        <v>130</v>
      </c>
      <c r="C217" s="4" t="n">
        <v>5</v>
      </c>
      <c r="D217" s="28" t="n">
        <v>3.49497833796281</v>
      </c>
      <c r="E217" s="29" t="n">
        <f aca="false">KPIs!G25</f>
        <v>3.49497833796281</v>
      </c>
      <c r="F217" s="26" t="n">
        <f aca="false">IF(OR(D217="n/a",E217="n/a"),"",E217-D217)</f>
        <v>0</v>
      </c>
      <c r="G217" s="22" t="str">
        <f aca="false">IF(AND(D217="n/a",E217="n/a"),"OK",IF(OR(D217="n/a",E217="n/a"),"Diferente",IF(ABS(E217-D217)&lt;=Premissas!$B$19*MAX(1,ABS(D217)),"OK","Diferente")))</f>
        <v>OK</v>
      </c>
    </row>
    <row r="218" customFormat="false" ht="15" hidden="false" customHeight="false" outlineLevel="0" collapsed="false">
      <c r="A218" s="4" t="s">
        <v>129</v>
      </c>
      <c r="B218" s="4" t="s">
        <v>130</v>
      </c>
      <c r="C218" s="4" t="n">
        <v>6</v>
      </c>
      <c r="D218" s="28" t="n">
        <v>2.78184372739114</v>
      </c>
      <c r="E218" s="29" t="n">
        <f aca="false">KPIs!H25</f>
        <v>2.78184372739114</v>
      </c>
      <c r="F218" s="26" t="n">
        <f aca="false">IF(OR(D218="n/a",E218="n/a"),"",E218-D218)</f>
        <v>0</v>
      </c>
      <c r="G218" s="22" t="str">
        <f aca="false">IF(AND(D218="n/a",E218="n/a"),"OK",IF(OR(D218="n/a",E218="n/a"),"Diferente",IF(ABS(E218-D218)&lt;=Premissas!$B$19*MAX(1,ABS(D218)),"OK","Diferente")))</f>
        <v>OK</v>
      </c>
    </row>
    <row r="219" customFormat="false" ht="15" hidden="false" customHeight="false" outlineLevel="0" collapsed="false">
      <c r="A219" s="4" t="s">
        <v>129</v>
      </c>
      <c r="B219" s="4" t="s">
        <v>130</v>
      </c>
      <c r="C219" s="4" t="n">
        <v>7</v>
      </c>
      <c r="D219" s="28" t="n">
        <v>2.35051016199994</v>
      </c>
      <c r="E219" s="29" t="n">
        <f aca="false">KPIs!I25</f>
        <v>2.35051016199994</v>
      </c>
      <c r="F219" s="26" t="n">
        <f aca="false">IF(OR(D219="n/a",E219="n/a"),"",E219-D219)</f>
        <v>0</v>
      </c>
      <c r="G219" s="22" t="str">
        <f aca="false">IF(AND(D219="n/a",E219="n/a"),"OK",IF(OR(D219="n/a",E219="n/a"),"Diferente",IF(ABS(E219-D219)&lt;=Premissas!$B$19*MAX(1,ABS(D219)),"OK","Diferente")))</f>
        <v>OK</v>
      </c>
    </row>
    <row r="220" customFormat="false" ht="15" hidden="false" customHeight="false" outlineLevel="0" collapsed="false">
      <c r="A220" s="4" t="s">
        <v>129</v>
      </c>
      <c r="B220" s="4" t="s">
        <v>130</v>
      </c>
      <c r="C220" s="4" t="n">
        <v>8</v>
      </c>
      <c r="D220" s="28" t="n">
        <v>2.18613582817941</v>
      </c>
      <c r="E220" s="29" t="n">
        <f aca="false">KPIs!J25</f>
        <v>2.18613582817941</v>
      </c>
      <c r="F220" s="26" t="n">
        <f aca="false">IF(OR(D220="n/a",E220="n/a"),"",E220-D220)</f>
        <v>0</v>
      </c>
      <c r="G220" s="22" t="str">
        <f aca="false">IF(AND(D220="n/a",E220="n/a"),"OK",IF(OR(D220="n/a",E220="n/a"),"Diferente",IF(ABS(E220-D220)&lt;=Premissas!$B$19*MAX(1,ABS(D220)),"OK","Diferente")))</f>
        <v>OK</v>
      </c>
    </row>
    <row r="221" customFormat="false" ht="15" hidden="false" customHeight="false" outlineLevel="0" collapsed="false">
      <c r="A221" s="4" t="s">
        <v>129</v>
      </c>
      <c r="B221" s="4" t="s">
        <v>130</v>
      </c>
      <c r="C221" s="4" t="n">
        <v>9</v>
      </c>
      <c r="D221" s="28" t="n">
        <v>1.80126872261853</v>
      </c>
      <c r="E221" s="29" t="n">
        <f aca="false">KPIs!K25</f>
        <v>1.80126872261853</v>
      </c>
      <c r="F221" s="26" t="n">
        <f aca="false">IF(OR(D221="n/a",E221="n/a"),"",E221-D221)</f>
        <v>0</v>
      </c>
      <c r="G221" s="22" t="str">
        <f aca="false">IF(AND(D221="n/a",E221="n/a"),"OK",IF(OR(D221="n/a",E221="n/a"),"Diferente",IF(ABS(E221-D221)&lt;=Premissas!$B$19*MAX(1,ABS(D221)),"OK","Diferente")))</f>
        <v>OK</v>
      </c>
    </row>
    <row r="222" customFormat="false" ht="15" hidden="false" customHeight="false" outlineLevel="0" collapsed="false">
      <c r="A222" s="4" t="s">
        <v>129</v>
      </c>
      <c r="B222" s="4" t="s">
        <v>130</v>
      </c>
      <c r="C222" s="4" t="n">
        <v>10</v>
      </c>
      <c r="D222" s="28" t="n">
        <v>1.19715389509858</v>
      </c>
      <c r="E222" s="29" t="n">
        <f aca="false">KPIs!L25</f>
        <v>1.19715389509858</v>
      </c>
      <c r="F222" s="26" t="n">
        <f aca="false">IF(OR(D222="n/a",E222="n/a"),"",E222-D222)</f>
        <v>0</v>
      </c>
      <c r="G222" s="22" t="str">
        <f aca="false">IF(AND(D222="n/a",E222="n/a"),"OK",IF(OR(D222="n/a",E222="n/a"),"Diferente",IF(ABS(E222-D222)&lt;=Premissas!$B$19*MAX(1,ABS(D222)),"OK","Diferente")))</f>
        <v>OK</v>
      </c>
    </row>
    <row r="223" customFormat="false" ht="15" hidden="false" customHeight="false" outlineLevel="0" collapsed="false">
      <c r="A223" s="4" t="s">
        <v>129</v>
      </c>
      <c r="B223" s="4" t="s">
        <v>130</v>
      </c>
      <c r="C223" s="4" t="n">
        <v>11</v>
      </c>
      <c r="D223" s="28" t="n">
        <v>0.877406994951751</v>
      </c>
      <c r="E223" s="29" t="n">
        <f aca="false">KPIs!M25</f>
        <v>0.877406994951751</v>
      </c>
      <c r="F223" s="26" t="n">
        <f aca="false">IF(OR(D223="n/a",E223="n/a"),"",E223-D223)</f>
        <v>0</v>
      </c>
      <c r="G223" s="22" t="str">
        <f aca="false">IF(AND(D223="n/a",E223="n/a"),"OK",IF(OR(D223="n/a",E223="n/a"),"Diferente",IF(ABS(E223-D223)&lt;=Premissas!$B$19*MAX(1,ABS(D223)),"OK","Diferente")))</f>
        <v>OK</v>
      </c>
    </row>
    <row r="224" customFormat="false" ht="15" hidden="false" customHeight="false" outlineLevel="0" collapsed="false">
      <c r="A224" s="4" t="s">
        <v>129</v>
      </c>
      <c r="B224" s="4" t="s">
        <v>130</v>
      </c>
      <c r="C224" s="4" t="n">
        <v>12</v>
      </c>
      <c r="D224" s="28" t="s">
        <v>170</v>
      </c>
      <c r="E224" s="29" t="str">
        <f aca="false">KPIs!N25</f>
        <v>n/a</v>
      </c>
      <c r="F224" s="26" t="str">
        <f aca="false">IF(OR(D224="n/a",E224="n/a"),"",E224-D224)</f>
        <v/>
      </c>
      <c r="G224" s="22" t="str">
        <f aca="false">IF(AND(D224="n/a",E224="n/a"),"OK",IF(OR(D224="n/a",E224="n/a"),"Diferente",IF(ABS(E224-D224)&lt;=Premissas!$B$19*MAX(1,ABS(D224)),"OK","Diferente")))</f>
        <v>OK</v>
      </c>
    </row>
    <row r="225" customFormat="false" ht="15" hidden="false" customHeight="false" outlineLevel="0" collapsed="false">
      <c r="A225" s="4" t="s">
        <v>131</v>
      </c>
      <c r="B225" s="4" t="s">
        <v>132</v>
      </c>
      <c r="C225" s="4" t="n">
        <v>1</v>
      </c>
      <c r="D225" s="27" t="n">
        <v>0.0930549349692069</v>
      </c>
      <c r="E225" s="7" t="n">
        <f aca="false">KPIs!C26</f>
        <v>0.093054934969207</v>
      </c>
      <c r="F225" s="26" t="n">
        <f aca="false">IF(OR(D225="n/a",E225="n/a"),"",E225-D225)</f>
        <v>0</v>
      </c>
      <c r="G225" s="22" t="str">
        <f aca="false">IF(AND(D225="n/a",E225="n/a"),"OK",IF(OR(D225="n/a",E225="n/a"),"Diferente",IF(ABS(E225-D225)&lt;=Premissas!$B$19*MAX(1,ABS(D225)),"OK","Diferente")))</f>
        <v>OK</v>
      </c>
    </row>
    <row r="226" customFormat="false" ht="15" hidden="false" customHeight="false" outlineLevel="0" collapsed="false">
      <c r="A226" s="4" t="s">
        <v>131</v>
      </c>
      <c r="B226" s="4" t="s">
        <v>132</v>
      </c>
      <c r="C226" s="4" t="n">
        <v>2</v>
      </c>
      <c r="D226" s="27" t="n">
        <v>0.115738960736713</v>
      </c>
      <c r="E226" s="7" t="n">
        <f aca="false">KPIs!D26</f>
        <v>0.115738960736713</v>
      </c>
      <c r="F226" s="26" t="n">
        <f aca="false">IF(OR(D226="n/a",E226="n/a"),"",E226-D226)</f>
        <v>0</v>
      </c>
      <c r="G226" s="22" t="str">
        <f aca="false">IF(AND(D226="n/a",E226="n/a"),"OK",IF(OR(D226="n/a",E226="n/a"),"Diferente",IF(ABS(E226-D226)&lt;=Premissas!$B$19*MAX(1,ABS(D226)),"OK","Diferente")))</f>
        <v>OK</v>
      </c>
    </row>
    <row r="227" customFormat="false" ht="15" hidden="false" customHeight="false" outlineLevel="0" collapsed="false">
      <c r="A227" s="4" t="s">
        <v>131</v>
      </c>
      <c r="B227" s="4" t="s">
        <v>132</v>
      </c>
      <c r="C227" s="4" t="n">
        <v>3</v>
      </c>
      <c r="D227" s="27" t="n">
        <v>0.279724607060527</v>
      </c>
      <c r="E227" s="7" t="n">
        <f aca="false">KPIs!E26</f>
        <v>0.279724607060527</v>
      </c>
      <c r="F227" s="26" t="n">
        <f aca="false">IF(OR(D227="n/a",E227="n/a"),"",E227-D227)</f>
        <v>0</v>
      </c>
      <c r="G227" s="22" t="str">
        <f aca="false">IF(AND(D227="n/a",E227="n/a"),"OK",IF(OR(D227="n/a",E227="n/a"),"Diferente",IF(ABS(E227-D227)&lt;=Premissas!$B$19*MAX(1,ABS(D227)),"OK","Diferente")))</f>
        <v>OK</v>
      </c>
    </row>
    <row r="228" customFormat="false" ht="15" hidden="false" customHeight="false" outlineLevel="0" collapsed="false">
      <c r="A228" s="4" t="s">
        <v>131</v>
      </c>
      <c r="B228" s="4" t="s">
        <v>132</v>
      </c>
      <c r="C228" s="4" t="n">
        <v>4</v>
      </c>
      <c r="D228" s="27" t="n">
        <v>0.315951650379651</v>
      </c>
      <c r="E228" s="7" t="n">
        <f aca="false">KPIs!F26</f>
        <v>0.315951650379651</v>
      </c>
      <c r="F228" s="26" t="n">
        <f aca="false">IF(OR(D228="n/a",E228="n/a"),"",E228-D228)</f>
        <v>0</v>
      </c>
      <c r="G228" s="22" t="str">
        <f aca="false">IF(AND(D228="n/a",E228="n/a"),"OK",IF(OR(D228="n/a",E228="n/a"),"Diferente",IF(ABS(E228-D228)&lt;=Premissas!$B$19*MAX(1,ABS(D228)),"OK","Diferente")))</f>
        <v>OK</v>
      </c>
    </row>
    <row r="229" customFormat="false" ht="15" hidden="false" customHeight="false" outlineLevel="0" collapsed="false">
      <c r="A229" s="4" t="s">
        <v>131</v>
      </c>
      <c r="B229" s="4" t="s">
        <v>132</v>
      </c>
      <c r="C229" s="4" t="n">
        <v>5</v>
      </c>
      <c r="D229" s="27" t="n">
        <v>0.260735479386763</v>
      </c>
      <c r="E229" s="7" t="n">
        <f aca="false">KPIs!G26</f>
        <v>0.260735479386763</v>
      </c>
      <c r="F229" s="26" t="n">
        <f aca="false">IF(OR(D229="n/a",E229="n/a"),"",E229-D229)</f>
        <v>0</v>
      </c>
      <c r="G229" s="22" t="str">
        <f aca="false">IF(AND(D229="n/a",E229="n/a"),"OK",IF(OR(D229="n/a",E229="n/a"),"Diferente",IF(ABS(E229-D229)&lt;=Premissas!$B$19*MAX(1,ABS(D229)),"OK","Diferente")))</f>
        <v>OK</v>
      </c>
    </row>
    <row r="230" customFormat="false" ht="15" hidden="false" customHeight="false" outlineLevel="0" collapsed="false">
      <c r="A230" s="4" t="s">
        <v>131</v>
      </c>
      <c r="B230" s="4" t="s">
        <v>132</v>
      </c>
      <c r="C230" s="4" t="n">
        <v>6</v>
      </c>
      <c r="D230" s="27" t="n">
        <v>0.31737059389675</v>
      </c>
      <c r="E230" s="7" t="n">
        <f aca="false">KPIs!H26</f>
        <v>0.31737059389675</v>
      </c>
      <c r="F230" s="26" t="n">
        <f aca="false">IF(OR(D230="n/a",E230="n/a"),"",E230-D230)</f>
        <v>0</v>
      </c>
      <c r="G230" s="22" t="str">
        <f aca="false">IF(AND(D230="n/a",E230="n/a"),"OK",IF(OR(D230="n/a",E230="n/a"),"Diferente",IF(ABS(E230-D230)&lt;=Premissas!$B$19*MAX(1,ABS(D230)),"OK","Diferente")))</f>
        <v>OK</v>
      </c>
    </row>
    <row r="231" customFormat="false" ht="15" hidden="false" customHeight="false" outlineLevel="0" collapsed="false">
      <c r="A231" s="4" t="s">
        <v>131</v>
      </c>
      <c r="B231" s="4" t="s">
        <v>132</v>
      </c>
      <c r="C231" s="4" t="n">
        <v>7</v>
      </c>
      <c r="D231" s="27" t="n">
        <v>0.317493170764162</v>
      </c>
      <c r="E231" s="7" t="n">
        <f aca="false">KPIs!I26</f>
        <v>0.317493170764162</v>
      </c>
      <c r="F231" s="26" t="n">
        <f aca="false">IF(OR(D231="n/a",E231="n/a"),"",E231-D231)</f>
        <v>0</v>
      </c>
      <c r="G231" s="22" t="str">
        <f aca="false">IF(AND(D231="n/a",E231="n/a"),"OK",IF(OR(D231="n/a",E231="n/a"),"Diferente",IF(ABS(E231-D231)&lt;=Premissas!$B$19*MAX(1,ABS(D231)),"OK","Diferente")))</f>
        <v>OK</v>
      </c>
    </row>
    <row r="232" customFormat="false" ht="15" hidden="false" customHeight="false" outlineLevel="0" collapsed="false">
      <c r="A232" s="4" t="s">
        <v>131</v>
      </c>
      <c r="B232" s="4" t="s">
        <v>132</v>
      </c>
      <c r="C232" s="4" t="n">
        <v>8</v>
      </c>
      <c r="D232" s="27" t="n">
        <v>0.402676812461902</v>
      </c>
      <c r="E232" s="7" t="n">
        <f aca="false">KPIs!J26</f>
        <v>0.402676812461902</v>
      </c>
      <c r="F232" s="26" t="n">
        <f aca="false">IF(OR(D232="n/a",E232="n/a"),"",E232-D232)</f>
        <v>0</v>
      </c>
      <c r="G232" s="22" t="str">
        <f aca="false">IF(AND(D232="n/a",E232="n/a"),"OK",IF(OR(D232="n/a",E232="n/a"),"Diferente",IF(ABS(E232-D232)&lt;=Premissas!$B$19*MAX(1,ABS(D232)),"OK","Diferente")))</f>
        <v>OK</v>
      </c>
    </row>
    <row r="233" customFormat="false" ht="15" hidden="false" customHeight="false" outlineLevel="0" collapsed="false">
      <c r="A233" s="4" t="s">
        <v>131</v>
      </c>
      <c r="B233" s="4" t="s">
        <v>132</v>
      </c>
      <c r="C233" s="4" t="n">
        <v>9</v>
      </c>
      <c r="D233" s="27" t="n">
        <v>0.428911163338169</v>
      </c>
      <c r="E233" s="7" t="n">
        <f aca="false">KPIs!K26</f>
        <v>0.428911163338169</v>
      </c>
      <c r="F233" s="26" t="n">
        <f aca="false">IF(OR(D233="n/a",E233="n/a"),"",E233-D233)</f>
        <v>0</v>
      </c>
      <c r="G233" s="22" t="str">
        <f aca="false">IF(AND(D233="n/a",E233="n/a"),"OK",IF(OR(D233="n/a",E233="n/a"),"Diferente",IF(ABS(E233-D233)&lt;=Premissas!$B$19*MAX(1,ABS(D233)),"OK","Diferente")))</f>
        <v>OK</v>
      </c>
    </row>
    <row r="234" customFormat="false" ht="15" hidden="false" customHeight="false" outlineLevel="0" collapsed="false">
      <c r="A234" s="4" t="s">
        <v>131</v>
      </c>
      <c r="B234" s="4" t="s">
        <v>132</v>
      </c>
      <c r="C234" s="4" t="n">
        <v>10</v>
      </c>
      <c r="D234" s="27" t="n">
        <v>0.367941283695065</v>
      </c>
      <c r="E234" s="7" t="n">
        <f aca="false">KPIs!L26</f>
        <v>0.367941283695065</v>
      </c>
      <c r="F234" s="26" t="n">
        <f aca="false">IF(OR(D234="n/a",E234="n/a"),"",E234-D234)</f>
        <v>0</v>
      </c>
      <c r="G234" s="22" t="str">
        <f aca="false">IF(AND(D234="n/a",E234="n/a"),"OK",IF(OR(D234="n/a",E234="n/a"),"Diferente",IF(ABS(E234-D234)&lt;=Premissas!$B$19*MAX(1,ABS(D234)),"OK","Diferente")))</f>
        <v>OK</v>
      </c>
    </row>
    <row r="235" customFormat="false" ht="15" hidden="false" customHeight="false" outlineLevel="0" collapsed="false">
      <c r="A235" s="4" t="s">
        <v>131</v>
      </c>
      <c r="B235" s="4" t="s">
        <v>132</v>
      </c>
      <c r="C235" s="4" t="n">
        <v>11</v>
      </c>
      <c r="D235" s="27" t="n">
        <v>0.410354717415609</v>
      </c>
      <c r="E235" s="7" t="n">
        <f aca="false">KPIs!M26</f>
        <v>0.410354717415609</v>
      </c>
      <c r="F235" s="26" t="n">
        <f aca="false">IF(OR(D235="n/a",E235="n/a"),"",E235-D235)</f>
        <v>0</v>
      </c>
      <c r="G235" s="22" t="str">
        <f aca="false">IF(AND(D235="n/a",E235="n/a"),"OK",IF(OR(D235="n/a",E235="n/a"),"Diferente",IF(ABS(E235-D235)&lt;=Premissas!$B$19*MAX(1,ABS(D235)),"OK","Diferente")))</f>
        <v>OK</v>
      </c>
    </row>
    <row r="236" customFormat="false" ht="15" hidden="false" customHeight="false" outlineLevel="0" collapsed="false">
      <c r="A236" s="4" t="s">
        <v>131</v>
      </c>
      <c r="B236" s="4" t="s">
        <v>132</v>
      </c>
      <c r="C236" s="4" t="n">
        <v>12</v>
      </c>
      <c r="D236" s="27" t="s">
        <v>170</v>
      </c>
      <c r="E236" s="7" t="str">
        <f aca="false">KPIs!N26</f>
        <v>n/a</v>
      </c>
      <c r="F236" s="26" t="str">
        <f aca="false">IF(OR(D236="n/a",E236="n/a"),"",E236-D236)</f>
        <v/>
      </c>
      <c r="G236" s="22" t="str">
        <f aca="false">IF(AND(D236="n/a",E236="n/a"),"OK",IF(OR(D236="n/a",E236="n/a"),"Diferente",IF(ABS(E236-D236)&lt;=Premissas!$B$19*MAX(1,ABS(D236)),"OK","Diferente")))</f>
        <v>OK</v>
      </c>
    </row>
    <row r="237" customFormat="false" ht="15" hidden="false" customHeight="false" outlineLevel="0" collapsed="false">
      <c r="A237" s="4" t="s">
        <v>133</v>
      </c>
      <c r="B237" s="4" t="s">
        <v>134</v>
      </c>
      <c r="C237" s="4" t="n">
        <v>1</v>
      </c>
      <c r="D237" s="28" t="n">
        <v>4.06882395346956</v>
      </c>
      <c r="E237" s="29" t="n">
        <f aca="false">KPIs!C27</f>
        <v>4.06882395346956</v>
      </c>
      <c r="F237" s="26" t="n">
        <f aca="false">IF(OR(D237="n/a",E237="n/a"),"",E237-D237)</f>
        <v>0</v>
      </c>
      <c r="G237" s="22" t="str">
        <f aca="false">IF(AND(D237="n/a",E237="n/a"),"OK",IF(OR(D237="n/a",E237="n/a"),"Diferente",IF(ABS(E237-D237)&lt;=Premissas!$B$19*MAX(1,ABS(D237)),"OK","Diferente")))</f>
        <v>OK</v>
      </c>
    </row>
    <row r="238" customFormat="false" ht="15" hidden="false" customHeight="false" outlineLevel="0" collapsed="false">
      <c r="A238" s="4" t="s">
        <v>133</v>
      </c>
      <c r="B238" s="4" t="s">
        <v>134</v>
      </c>
      <c r="C238" s="4" t="n">
        <v>2</v>
      </c>
      <c r="D238" s="28" t="n">
        <v>5.39187596094224</v>
      </c>
      <c r="E238" s="29" t="n">
        <f aca="false">KPIs!D27</f>
        <v>5.39187596094224</v>
      </c>
      <c r="F238" s="26" t="n">
        <f aca="false">IF(OR(D238="n/a",E238="n/a"),"",E238-D238)</f>
        <v>0</v>
      </c>
      <c r="G238" s="22" t="str">
        <f aca="false">IF(AND(D238="n/a",E238="n/a"),"OK",IF(OR(D238="n/a",E238="n/a"),"Diferente",IF(ABS(E238-D238)&lt;=Premissas!$B$19*MAX(1,ABS(D238)),"OK","Diferente")))</f>
        <v>OK</v>
      </c>
    </row>
    <row r="239" customFormat="false" ht="15" hidden="false" customHeight="false" outlineLevel="0" collapsed="false">
      <c r="A239" s="4" t="s">
        <v>133</v>
      </c>
      <c r="B239" s="4" t="s">
        <v>134</v>
      </c>
      <c r="C239" s="4" t="n">
        <v>3</v>
      </c>
      <c r="D239" s="28" t="n">
        <v>4.8267590864209</v>
      </c>
      <c r="E239" s="29" t="n">
        <f aca="false">KPIs!E27</f>
        <v>4.8267590864209</v>
      </c>
      <c r="F239" s="26" t="n">
        <f aca="false">IF(OR(D239="n/a",E239="n/a"),"",E239-D239)</f>
        <v>0</v>
      </c>
      <c r="G239" s="22" t="str">
        <f aca="false">IF(AND(D239="n/a",E239="n/a"),"OK",IF(OR(D239="n/a",E239="n/a"),"Diferente",IF(ABS(E239-D239)&lt;=Premissas!$B$19*MAX(1,ABS(D239)),"OK","Diferente")))</f>
        <v>OK</v>
      </c>
    </row>
    <row r="240" customFormat="false" ht="15" hidden="false" customHeight="false" outlineLevel="0" collapsed="false">
      <c r="A240" s="4" t="s">
        <v>133</v>
      </c>
      <c r="B240" s="4" t="s">
        <v>134</v>
      </c>
      <c r="C240" s="4" t="n">
        <v>4</v>
      </c>
      <c r="D240" s="28" t="n">
        <v>4.104555751666</v>
      </c>
      <c r="E240" s="29" t="n">
        <f aca="false">KPIs!F27</f>
        <v>4.104555751666</v>
      </c>
      <c r="F240" s="26" t="n">
        <f aca="false">IF(OR(D240="n/a",E240="n/a"),"",E240-D240)</f>
        <v>0</v>
      </c>
      <c r="G240" s="22" t="str">
        <f aca="false">IF(AND(D240="n/a",E240="n/a"),"OK",IF(OR(D240="n/a",E240="n/a"),"Diferente",IF(ABS(E240-D240)&lt;=Premissas!$B$19*MAX(1,ABS(D240)),"OK","Diferente")))</f>
        <v>OK</v>
      </c>
    </row>
    <row r="241" customFormat="false" ht="15" hidden="false" customHeight="false" outlineLevel="0" collapsed="false">
      <c r="A241" s="4" t="s">
        <v>133</v>
      </c>
      <c r="B241" s="4" t="s">
        <v>134</v>
      </c>
      <c r="C241" s="4" t="n">
        <v>5</v>
      </c>
      <c r="D241" s="28" t="n">
        <v>3.26621967576491</v>
      </c>
      <c r="E241" s="29" t="n">
        <f aca="false">KPIs!G27</f>
        <v>3.26621967576491</v>
      </c>
      <c r="F241" s="26" t="n">
        <f aca="false">IF(OR(D241="n/a",E241="n/a"),"",E241-D241)</f>
        <v>0</v>
      </c>
      <c r="G241" s="22" t="str">
        <f aca="false">IF(AND(D241="n/a",E241="n/a"),"OK",IF(OR(D241="n/a",E241="n/a"),"Diferente",IF(ABS(E241-D241)&lt;=Premissas!$B$19*MAX(1,ABS(D241)),"OK","Diferente")))</f>
        <v>OK</v>
      </c>
    </row>
    <row r="242" customFormat="false" ht="15" hidden="false" customHeight="false" outlineLevel="0" collapsed="false">
      <c r="A242" s="4" t="s">
        <v>133</v>
      </c>
      <c r="B242" s="4" t="s">
        <v>134</v>
      </c>
      <c r="C242" s="4" t="n">
        <v>6</v>
      </c>
      <c r="D242" s="28" t="n">
        <v>2.57709536752524</v>
      </c>
      <c r="E242" s="29" t="n">
        <f aca="false">KPIs!H27</f>
        <v>2.57709536752524</v>
      </c>
      <c r="F242" s="26" t="n">
        <f aca="false">IF(OR(D242="n/a",E242="n/a"),"",E242-D242)</f>
        <v>0</v>
      </c>
      <c r="G242" s="22" t="str">
        <f aca="false">IF(AND(D242="n/a",E242="n/a"),"OK",IF(OR(D242="n/a",E242="n/a"),"Diferente",IF(ABS(E242-D242)&lt;=Premissas!$B$19*MAX(1,ABS(D242)),"OK","Diferente")))</f>
        <v>OK</v>
      </c>
    </row>
    <row r="243" customFormat="false" ht="15" hidden="false" customHeight="false" outlineLevel="0" collapsed="false">
      <c r="A243" s="4" t="s">
        <v>133</v>
      </c>
      <c r="B243" s="4" t="s">
        <v>134</v>
      </c>
      <c r="C243" s="4" t="n">
        <v>7</v>
      </c>
      <c r="D243" s="28" t="n">
        <v>2.01033851867721</v>
      </c>
      <c r="E243" s="29" t="n">
        <f aca="false">KPIs!I27</f>
        <v>2.01033851867721</v>
      </c>
      <c r="F243" s="26" t="n">
        <f aca="false">IF(OR(D243="n/a",E243="n/a"),"",E243-D243)</f>
        <v>0</v>
      </c>
      <c r="G243" s="22" t="str">
        <f aca="false">IF(AND(D243="n/a",E243="n/a"),"OK",IF(OR(D243="n/a",E243="n/a"),"Diferente",IF(ABS(E243-D243)&lt;=Premissas!$B$19*MAX(1,ABS(D243)),"OK","Diferente")))</f>
        <v>OK</v>
      </c>
    </row>
    <row r="244" customFormat="false" ht="15" hidden="false" customHeight="false" outlineLevel="0" collapsed="false">
      <c r="A244" s="4" t="s">
        <v>133</v>
      </c>
      <c r="B244" s="4" t="s">
        <v>134</v>
      </c>
      <c r="C244" s="4" t="n">
        <v>8</v>
      </c>
      <c r="D244" s="28" t="n">
        <v>1.46534409994704</v>
      </c>
      <c r="E244" s="29" t="n">
        <f aca="false">KPIs!J27</f>
        <v>1.46534409994704</v>
      </c>
      <c r="F244" s="26" t="n">
        <f aca="false">IF(OR(D244="n/a",E244="n/a"),"",E244-D244)</f>
        <v>0</v>
      </c>
      <c r="G244" s="22" t="str">
        <f aca="false">IF(AND(D244="n/a",E244="n/a"),"OK",IF(OR(D244="n/a",E244="n/a"),"Diferente",IF(ABS(E244-D244)&lt;=Premissas!$B$19*MAX(1,ABS(D244)),"OK","Diferente")))</f>
        <v>OK</v>
      </c>
    </row>
    <row r="245" customFormat="false" ht="15" hidden="false" customHeight="false" outlineLevel="0" collapsed="false">
      <c r="A245" s="4" t="s">
        <v>133</v>
      </c>
      <c r="B245" s="4" t="s">
        <v>134</v>
      </c>
      <c r="C245" s="4" t="n">
        <v>9</v>
      </c>
      <c r="D245" s="28" t="n">
        <v>1.03604456945709</v>
      </c>
      <c r="E245" s="29" t="n">
        <f aca="false">KPIs!K27</f>
        <v>1.03604456945709</v>
      </c>
      <c r="F245" s="26" t="n">
        <f aca="false">IF(OR(D245="n/a",E245="n/a"),"",E245-D245)</f>
        <v>0</v>
      </c>
      <c r="G245" s="22" t="str">
        <f aca="false">IF(AND(D245="n/a",E245="n/a"),"OK",IF(OR(D245="n/a",E245="n/a"),"Diferente",IF(ABS(E245-D245)&lt;=Premissas!$B$19*MAX(1,ABS(D245)),"OK","Diferente")))</f>
        <v>OK</v>
      </c>
    </row>
    <row r="246" customFormat="false" ht="15" hidden="false" customHeight="false" outlineLevel="0" collapsed="false">
      <c r="A246" s="4" t="s">
        <v>133</v>
      </c>
      <c r="B246" s="4" t="s">
        <v>134</v>
      </c>
      <c r="C246" s="4" t="n">
        <v>10</v>
      </c>
      <c r="D246" s="28" t="n">
        <v>0.620034400676664</v>
      </c>
      <c r="E246" s="29" t="n">
        <f aca="false">KPIs!L27</f>
        <v>0.620034400676664</v>
      </c>
      <c r="F246" s="26" t="n">
        <f aca="false">IF(OR(D246="n/a",E246="n/a"),"",E246-D246)</f>
        <v>0</v>
      </c>
      <c r="G246" s="22" t="str">
        <f aca="false">IF(AND(D246="n/a",E246="n/a"),"OK",IF(OR(D246="n/a",E246="n/a"),"Diferente",IF(ABS(E246-D246)&lt;=Premissas!$B$19*MAX(1,ABS(D246)),"OK","Diferente")))</f>
        <v>OK</v>
      </c>
    </row>
    <row r="247" customFormat="false" ht="15" hidden="false" customHeight="false" outlineLevel="0" collapsed="false">
      <c r="A247" s="4" t="s">
        <v>133</v>
      </c>
      <c r="B247" s="4" t="s">
        <v>134</v>
      </c>
      <c r="C247" s="4" t="n">
        <v>11</v>
      </c>
      <c r="D247" s="28" t="n">
        <v>0.28358431524928</v>
      </c>
      <c r="E247" s="29" t="n">
        <f aca="false">KPIs!M27</f>
        <v>0.28358431524928</v>
      </c>
      <c r="F247" s="26" t="n">
        <f aca="false">IF(OR(D247="n/a",E247="n/a"),"",E247-D247)</f>
        <v>0</v>
      </c>
      <c r="G247" s="22" t="str">
        <f aca="false">IF(AND(D247="n/a",E247="n/a"),"OK",IF(OR(D247="n/a",E247="n/a"),"Diferente",IF(ABS(E247-D247)&lt;=Premissas!$B$19*MAX(1,ABS(D247)),"OK","Diferente")))</f>
        <v>OK</v>
      </c>
    </row>
    <row r="248" customFormat="false" ht="15" hidden="false" customHeight="false" outlineLevel="0" collapsed="false">
      <c r="A248" s="4" t="s">
        <v>133</v>
      </c>
      <c r="B248" s="4" t="s">
        <v>134</v>
      </c>
      <c r="C248" s="4" t="n">
        <v>12</v>
      </c>
      <c r="D248" s="28" t="s">
        <v>170</v>
      </c>
      <c r="E248" s="29" t="str">
        <f aca="false">KPIs!N27</f>
        <v>n/a</v>
      </c>
      <c r="F248" s="26" t="str">
        <f aca="false">IF(OR(D248="n/a",E248="n/a"),"",E248-D248)</f>
        <v/>
      </c>
      <c r="G248" s="22" t="str">
        <f aca="false">IF(AND(D248="n/a",E248="n/a"),"OK",IF(OR(D248="n/a",E248="n/a"),"Diferente",IF(ABS(E248-D248)&lt;=Premissas!$B$19*MAX(1,ABS(D248)),"OK","Diferente")))</f>
        <v>OK</v>
      </c>
    </row>
    <row r="249" customFormat="false" ht="15" hidden="false" customHeight="false" outlineLevel="0" collapsed="false">
      <c r="A249" s="4" t="s">
        <v>135</v>
      </c>
      <c r="B249" s="4" t="s">
        <v>136</v>
      </c>
      <c r="C249" s="4" t="n">
        <v>1</v>
      </c>
      <c r="D249" s="27" t="n">
        <v>0.833872320202765</v>
      </c>
      <c r="E249" s="7" t="n">
        <f aca="false">KPIs!C28</f>
        <v>0.833872320202765</v>
      </c>
      <c r="F249" s="26" t="n">
        <f aca="false">IF(OR(D249="n/a",E249="n/a"),"",E249-D249)</f>
        <v>0</v>
      </c>
      <c r="G249" s="22" t="str">
        <f aca="false">IF(AND(D249="n/a",E249="n/a"),"OK",IF(OR(D249="n/a",E249="n/a"),"Diferente",IF(ABS(E249-D249)&lt;=Premissas!$B$19*MAX(1,ABS(D249)),"OK","Diferente")))</f>
        <v>OK</v>
      </c>
    </row>
    <row r="250" customFormat="false" ht="15" hidden="false" customHeight="false" outlineLevel="0" collapsed="false">
      <c r="A250" s="4" t="s">
        <v>135</v>
      </c>
      <c r="B250" s="4" t="s">
        <v>136</v>
      </c>
      <c r="C250" s="4" t="n">
        <v>2</v>
      </c>
      <c r="D250" s="27" t="n">
        <v>0.845017164845586</v>
      </c>
      <c r="E250" s="7" t="n">
        <f aca="false">KPIs!D28</f>
        <v>0.845017164845586</v>
      </c>
      <c r="F250" s="26" t="n">
        <f aca="false">IF(OR(D250="n/a",E250="n/a"),"",E250-D250)</f>
        <v>0</v>
      </c>
      <c r="G250" s="22" t="str">
        <f aca="false">IF(AND(D250="n/a",E250="n/a"),"OK",IF(OR(D250="n/a",E250="n/a"),"Diferente",IF(ABS(E250-D250)&lt;=Premissas!$B$19*MAX(1,ABS(D250)),"OK","Diferente")))</f>
        <v>OK</v>
      </c>
    </row>
    <row r="251" customFormat="false" ht="15" hidden="false" customHeight="false" outlineLevel="0" collapsed="false">
      <c r="A251" s="4" t="s">
        <v>135</v>
      </c>
      <c r="B251" s="4" t="s">
        <v>136</v>
      </c>
      <c r="C251" s="4" t="n">
        <v>3</v>
      </c>
      <c r="D251" s="27" t="n">
        <v>0.890439733776572</v>
      </c>
      <c r="E251" s="7" t="n">
        <f aca="false">KPIs!E28</f>
        <v>0.890439733776572</v>
      </c>
      <c r="F251" s="26" t="n">
        <f aca="false">IF(OR(D251="n/a",E251="n/a"),"",E251-D251)</f>
        <v>0</v>
      </c>
      <c r="G251" s="22" t="str">
        <f aca="false">IF(AND(D251="n/a",E251="n/a"),"OK",IF(OR(D251="n/a",E251="n/a"),"Diferente",IF(ABS(E251-D251)&lt;=Premissas!$B$19*MAX(1,ABS(D251)),"OK","Diferente")))</f>
        <v>OK</v>
      </c>
    </row>
    <row r="252" customFormat="false" ht="15" hidden="false" customHeight="false" outlineLevel="0" collapsed="false">
      <c r="A252" s="4" t="s">
        <v>135</v>
      </c>
      <c r="B252" s="4" t="s">
        <v>136</v>
      </c>
      <c r="C252" s="4" t="n">
        <v>4</v>
      </c>
      <c r="D252" s="27" t="n">
        <v>0.931105934240373</v>
      </c>
      <c r="E252" s="7" t="n">
        <f aca="false">KPIs!F28</f>
        <v>0.931105934240373</v>
      </c>
      <c r="F252" s="26" t="n">
        <f aca="false">IF(OR(D252="n/a",E252="n/a"),"",E252-D252)</f>
        <v>0</v>
      </c>
      <c r="G252" s="22" t="str">
        <f aca="false">IF(AND(D252="n/a",E252="n/a"),"OK",IF(OR(D252="n/a",E252="n/a"),"Diferente",IF(ABS(E252-D252)&lt;=Premissas!$B$19*MAX(1,ABS(D252)),"OK","Diferente")))</f>
        <v>OK</v>
      </c>
    </row>
    <row r="253" customFormat="false" ht="15" hidden="false" customHeight="false" outlineLevel="0" collapsed="false">
      <c r="A253" s="4" t="s">
        <v>135</v>
      </c>
      <c r="B253" s="4" t="s">
        <v>136</v>
      </c>
      <c r="C253" s="4" t="n">
        <v>5</v>
      </c>
      <c r="D253" s="27" t="n">
        <v>0.911406475132172</v>
      </c>
      <c r="E253" s="7" t="n">
        <f aca="false">KPIs!G28</f>
        <v>0.911406475132172</v>
      </c>
      <c r="F253" s="26" t="n">
        <f aca="false">IF(OR(D253="n/a",E253="n/a"),"",E253-D253)</f>
        <v>0</v>
      </c>
      <c r="G253" s="22" t="str">
        <f aca="false">IF(AND(D253="n/a",E253="n/a"),"OK",IF(OR(D253="n/a",E253="n/a"),"Diferente",IF(ABS(E253-D253)&lt;=Premissas!$B$19*MAX(1,ABS(D253)),"OK","Diferente")))</f>
        <v>OK</v>
      </c>
    </row>
    <row r="254" customFormat="false" ht="15" hidden="false" customHeight="false" outlineLevel="0" collapsed="false">
      <c r="A254" s="4" t="s">
        <v>135</v>
      </c>
      <c r="B254" s="4" t="s">
        <v>136</v>
      </c>
      <c r="C254" s="4" t="n">
        <v>6</v>
      </c>
      <c r="D254" s="27" t="n">
        <v>0.888969824030758</v>
      </c>
      <c r="E254" s="7" t="n">
        <f aca="false">KPIs!H28</f>
        <v>0.888969824030758</v>
      </c>
      <c r="F254" s="26" t="n">
        <f aca="false">IF(OR(D254="n/a",E254="n/a"),"",E254-D254)</f>
        <v>0</v>
      </c>
      <c r="G254" s="22" t="str">
        <f aca="false">IF(AND(D254="n/a",E254="n/a"),"OK",IF(OR(D254="n/a",E254="n/a"),"Diferente",IF(ABS(E254-D254)&lt;=Premissas!$B$19*MAX(1,ABS(D254)),"OK","Diferente")))</f>
        <v>OK</v>
      </c>
    </row>
    <row r="255" customFormat="false" ht="15" hidden="false" customHeight="false" outlineLevel="0" collapsed="false">
      <c r="A255" s="4" t="s">
        <v>135</v>
      </c>
      <c r="B255" s="4" t="s">
        <v>136</v>
      </c>
      <c r="C255" s="4" t="n">
        <v>7</v>
      </c>
      <c r="D255" s="27" t="n">
        <v>0.771948479054338</v>
      </c>
      <c r="E255" s="7" t="n">
        <f aca="false">KPIs!I28</f>
        <v>0.771948479054338</v>
      </c>
      <c r="F255" s="26" t="n">
        <f aca="false">IF(OR(D255="n/a",E255="n/a"),"",E255-D255)</f>
        <v>0</v>
      </c>
      <c r="G255" s="22" t="str">
        <f aca="false">IF(AND(D255="n/a",E255="n/a"),"OK",IF(OR(D255="n/a",E255="n/a"),"Diferente",IF(ABS(E255-D255)&lt;=Premissas!$B$19*MAX(1,ABS(D255)),"OK","Diferente")))</f>
        <v>OK</v>
      </c>
    </row>
    <row r="256" customFormat="false" ht="15" hidden="false" customHeight="false" outlineLevel="0" collapsed="false">
      <c r="A256" s="4" t="s">
        <v>135</v>
      </c>
      <c r="B256" s="4" t="s">
        <v>136</v>
      </c>
      <c r="C256" s="4" t="n">
        <v>8</v>
      </c>
      <c r="D256" s="27" t="n">
        <v>0.635495392384635</v>
      </c>
      <c r="E256" s="7" t="n">
        <f aca="false">KPIs!J28</f>
        <v>0.635495392384635</v>
      </c>
      <c r="F256" s="26" t="n">
        <f aca="false">IF(OR(D256="n/a",E256="n/a"),"",E256-D256)</f>
        <v>0</v>
      </c>
      <c r="G256" s="22" t="str">
        <f aca="false">IF(AND(D256="n/a",E256="n/a"),"OK",IF(OR(D256="n/a",E256="n/a"),"Diferente",IF(ABS(E256-D256)&lt;=Premissas!$B$19*MAX(1,ABS(D256)),"OK","Diferente")))</f>
        <v>OK</v>
      </c>
    </row>
    <row r="257" customFormat="false" ht="15" hidden="false" customHeight="false" outlineLevel="0" collapsed="false">
      <c r="A257" s="4" t="s">
        <v>135</v>
      </c>
      <c r="B257" s="4" t="s">
        <v>136</v>
      </c>
      <c r="C257" s="4" t="n">
        <v>9</v>
      </c>
      <c r="D257" s="27" t="n">
        <v>0.510697740449313</v>
      </c>
      <c r="E257" s="7" t="n">
        <f aca="false">KPIs!K28</f>
        <v>0.510697740449313</v>
      </c>
      <c r="F257" s="26" t="n">
        <f aca="false">IF(OR(D257="n/a",E257="n/a"),"",E257-D257)</f>
        <v>0</v>
      </c>
      <c r="G257" s="22" t="str">
        <f aca="false">IF(AND(D257="n/a",E257="n/a"),"OK",IF(OR(D257="n/a",E257="n/a"),"Diferente",IF(ABS(E257-D257)&lt;=Premissas!$B$19*MAX(1,ABS(D257)),"OK","Diferente")))</f>
        <v>OK</v>
      </c>
    </row>
    <row r="258" customFormat="false" ht="15" hidden="false" customHeight="false" outlineLevel="0" collapsed="false">
      <c r="A258" s="4" t="s">
        <v>135</v>
      </c>
      <c r="B258" s="4" t="s">
        <v>136</v>
      </c>
      <c r="C258" s="4" t="n">
        <v>10</v>
      </c>
      <c r="D258" s="27" t="n">
        <v>0.352959777375545</v>
      </c>
      <c r="E258" s="7" t="n">
        <f aca="false">KPIs!L28</f>
        <v>0.352959777375545</v>
      </c>
      <c r="F258" s="26" t="n">
        <f aca="false">IF(OR(D258="n/a",E258="n/a"),"",E258-D258)</f>
        <v>0</v>
      </c>
      <c r="G258" s="22" t="str">
        <f aca="false">IF(AND(D258="n/a",E258="n/a"),"OK",IF(OR(D258="n/a",E258="n/a"),"Diferente",IF(ABS(E258-D258)&lt;=Premissas!$B$19*MAX(1,ABS(D258)),"OK","Diferente")))</f>
        <v>OK</v>
      </c>
    </row>
    <row r="259" customFormat="false" ht="15" hidden="false" customHeight="false" outlineLevel="0" collapsed="false">
      <c r="A259" s="4" t="s">
        <v>135</v>
      </c>
      <c r="B259" s="4" t="s">
        <v>136</v>
      </c>
      <c r="C259" s="4" t="n">
        <v>11</v>
      </c>
      <c r="D259" s="27" t="n">
        <v>0.186893368532696</v>
      </c>
      <c r="E259" s="7" t="n">
        <f aca="false">KPIs!M28</f>
        <v>0.186893368532696</v>
      </c>
      <c r="F259" s="26" t="n">
        <f aca="false">IF(OR(D259="n/a",E259="n/a"),"",E259-D259)</f>
        <v>0</v>
      </c>
      <c r="G259" s="22" t="str">
        <f aca="false">IF(AND(D259="n/a",E259="n/a"),"OK",IF(OR(D259="n/a",E259="n/a"),"Diferente",IF(ABS(E259-D259)&lt;=Premissas!$B$19*MAX(1,ABS(D259)),"OK","Diferente")))</f>
        <v>OK</v>
      </c>
    </row>
    <row r="260" customFormat="false" ht="15" hidden="false" customHeight="false" outlineLevel="0" collapsed="false">
      <c r="A260" s="4" t="s">
        <v>135</v>
      </c>
      <c r="B260" s="4" t="s">
        <v>136</v>
      </c>
      <c r="C260" s="4" t="n">
        <v>12</v>
      </c>
      <c r="D260" s="27" t="s">
        <v>170</v>
      </c>
      <c r="E260" s="7" t="str">
        <f aca="false">KPIs!N28</f>
        <v>n/a</v>
      </c>
      <c r="F260" s="26" t="str">
        <f aca="false">IF(OR(D260="n/a",E260="n/a"),"",E260-D260)</f>
        <v/>
      </c>
      <c r="G260" s="22" t="str">
        <f aca="false">IF(AND(D260="n/a",E260="n/a"),"OK",IF(OR(D260="n/a",E260="n/a"),"Diferente",IF(ABS(E260-D260)&lt;=Premissas!$B$19*MAX(1,ABS(D260)),"OK","Diferente")))</f>
        <v>OK</v>
      </c>
    </row>
    <row r="261" customFormat="false" ht="15" hidden="false" customHeight="false" outlineLevel="0" collapsed="false">
      <c r="A261" s="4" t="s">
        <v>137</v>
      </c>
      <c r="B261" s="4" t="s">
        <v>138</v>
      </c>
      <c r="C261" s="4" t="n">
        <v>1</v>
      </c>
      <c r="D261" s="28" t="n">
        <v>0.958189739571852</v>
      </c>
      <c r="E261" s="29" t="n">
        <f aca="false">KPIs!C29</f>
        <v>0.958189739571852</v>
      </c>
      <c r="F261" s="26" t="n">
        <f aca="false">IF(OR(D261="n/a",E261="n/a"),"",E261-D261)</f>
        <v>0</v>
      </c>
      <c r="G261" s="22" t="str">
        <f aca="false">IF(AND(D261="n/a",E261="n/a"),"OK",IF(OR(D261="n/a",E261="n/a"),"Diferente",IF(ABS(E261-D261)&lt;=Premissas!$B$19*MAX(1,ABS(D261)),"OK","Diferente")))</f>
        <v>OK</v>
      </c>
    </row>
    <row r="262" customFormat="false" ht="15" hidden="false" customHeight="false" outlineLevel="0" collapsed="false">
      <c r="A262" s="4" t="s">
        <v>137</v>
      </c>
      <c r="B262" s="4" t="s">
        <v>138</v>
      </c>
      <c r="C262" s="4" t="n">
        <v>2</v>
      </c>
      <c r="D262" s="28" t="n">
        <v>1.1469319780355</v>
      </c>
      <c r="E262" s="29" t="n">
        <f aca="false">KPIs!D29</f>
        <v>1.1469319780355</v>
      </c>
      <c r="F262" s="26" t="n">
        <f aca="false">IF(OR(D262="n/a",E262="n/a"),"",E262-D262)</f>
        <v>0</v>
      </c>
      <c r="G262" s="22" t="str">
        <f aca="false">IF(AND(D262="n/a",E262="n/a"),"OK",IF(OR(D262="n/a",E262="n/a"),"Diferente",IF(ABS(E262-D262)&lt;=Premissas!$B$19*MAX(1,ABS(D262)),"OK","Diferente")))</f>
        <v>OK</v>
      </c>
    </row>
    <row r="263" customFormat="false" ht="15" hidden="false" customHeight="false" outlineLevel="0" collapsed="false">
      <c r="A263" s="4" t="s">
        <v>137</v>
      </c>
      <c r="B263" s="4" t="s">
        <v>138</v>
      </c>
      <c r="C263" s="4" t="n">
        <v>3</v>
      </c>
      <c r="D263" s="28" t="n">
        <v>0.941406629775871</v>
      </c>
      <c r="E263" s="29" t="n">
        <f aca="false">KPIs!E29</f>
        <v>0.941406629775871</v>
      </c>
      <c r="F263" s="26" t="n">
        <f aca="false">IF(OR(D263="n/a",E263="n/a"),"",E263-D263)</f>
        <v>0</v>
      </c>
      <c r="G263" s="22" t="str">
        <f aca="false">IF(AND(D263="n/a",E263="n/a"),"OK",IF(OR(D263="n/a",E263="n/a"),"Diferente",IF(ABS(E263-D263)&lt;=Premissas!$B$19*MAX(1,ABS(D263)),"OK","Diferente")))</f>
        <v>OK</v>
      </c>
    </row>
    <row r="264" customFormat="false" ht="15" hidden="false" customHeight="false" outlineLevel="0" collapsed="false">
      <c r="A264" s="4" t="s">
        <v>137</v>
      </c>
      <c r="B264" s="4" t="s">
        <v>138</v>
      </c>
      <c r="C264" s="4" t="n">
        <v>4</v>
      </c>
      <c r="D264" s="28" t="n">
        <v>0.776042117974574</v>
      </c>
      <c r="E264" s="29" t="n">
        <f aca="false">KPIs!F29</f>
        <v>0.776042117974574</v>
      </c>
      <c r="F264" s="26" t="n">
        <f aca="false">IF(OR(D264="n/a",E264="n/a"),"",E264-D264)</f>
        <v>0</v>
      </c>
      <c r="G264" s="22" t="str">
        <f aca="false">IF(AND(D264="n/a",E264="n/a"),"OK",IF(OR(D264="n/a",E264="n/a"),"Diferente",IF(ABS(E264-D264)&lt;=Premissas!$B$19*MAX(1,ABS(D264)),"OK","Diferente")))</f>
        <v>OK</v>
      </c>
    </row>
    <row r="265" customFormat="false" ht="15" hidden="false" customHeight="false" outlineLevel="0" collapsed="false">
      <c r="A265" s="4" t="s">
        <v>137</v>
      </c>
      <c r="B265" s="4" t="s">
        <v>138</v>
      </c>
      <c r="C265" s="4" t="n">
        <v>5</v>
      </c>
      <c r="D265" s="28" t="n">
        <v>0.638190506564002</v>
      </c>
      <c r="E265" s="29" t="n">
        <f aca="false">KPIs!G29</f>
        <v>0.638190506564002</v>
      </c>
      <c r="F265" s="26" t="n">
        <f aca="false">IF(OR(D265="n/a",E265="n/a"),"",E265-D265)</f>
        <v>0</v>
      </c>
      <c r="G265" s="22" t="str">
        <f aca="false">IF(AND(D265="n/a",E265="n/a"),"OK",IF(OR(D265="n/a",E265="n/a"),"Diferente",IF(ABS(E265-D265)&lt;=Premissas!$B$19*MAX(1,ABS(D265)),"OK","Diferente")))</f>
        <v>OK</v>
      </c>
    </row>
    <row r="266" customFormat="false" ht="15" hidden="false" customHeight="false" outlineLevel="0" collapsed="false">
      <c r="A266" s="4" t="s">
        <v>137</v>
      </c>
      <c r="B266" s="4" t="s">
        <v>138</v>
      </c>
      <c r="C266" s="4" t="n">
        <v>6</v>
      </c>
      <c r="D266" s="28" t="n">
        <v>0.447494651500098</v>
      </c>
      <c r="E266" s="29" t="n">
        <f aca="false">KPIs!H29</f>
        <v>0.447494651500098</v>
      </c>
      <c r="F266" s="26" t="n">
        <f aca="false">IF(OR(D266="n/a",E266="n/a"),"",E266-D266)</f>
        <v>0</v>
      </c>
      <c r="G266" s="22" t="str">
        <f aca="false">IF(AND(D266="n/a",E266="n/a"),"OK",IF(OR(D266="n/a",E266="n/a"),"Diferente",IF(ABS(E266-D266)&lt;=Premissas!$B$19*MAX(1,ABS(D266)),"OK","Diferente")))</f>
        <v>OK</v>
      </c>
    </row>
    <row r="267" customFormat="false" ht="15" hidden="false" customHeight="false" outlineLevel="0" collapsed="false">
      <c r="A267" s="4" t="s">
        <v>137</v>
      </c>
      <c r="B267" s="4" t="s">
        <v>138</v>
      </c>
      <c r="C267" s="4" t="n">
        <v>7</v>
      </c>
      <c r="D267" s="28" t="n">
        <v>0.250977897669592</v>
      </c>
      <c r="E267" s="29" t="n">
        <f aca="false">KPIs!I29</f>
        <v>0.250977897669592</v>
      </c>
      <c r="F267" s="26" t="n">
        <f aca="false">IF(OR(D267="n/a",E267="n/a"),"",E267-D267)</f>
        <v>0</v>
      </c>
      <c r="G267" s="22" t="str">
        <f aca="false">IF(AND(D267="n/a",E267="n/a"),"OK",IF(OR(D267="n/a",E267="n/a"),"Diferente",IF(ABS(E267-D267)&lt;=Premissas!$B$19*MAX(1,ABS(D267)),"OK","Diferente")))</f>
        <v>OK</v>
      </c>
    </row>
    <row r="268" customFormat="false" ht="15" hidden="false" customHeight="false" outlineLevel="0" collapsed="false">
      <c r="A268" s="4" t="s">
        <v>137</v>
      </c>
      <c r="B268" s="4" t="s">
        <v>138</v>
      </c>
      <c r="C268" s="4" t="n">
        <v>8</v>
      </c>
      <c r="D268" s="28" t="n">
        <v>0.0315481134480892</v>
      </c>
      <c r="E268" s="29" t="n">
        <f aca="false">KPIs!J29</f>
        <v>0.0315481134480893</v>
      </c>
      <c r="F268" s="26" t="n">
        <f aca="false">IF(OR(D268="n/a",E268="n/a"),"",E268-D268)</f>
        <v>0</v>
      </c>
      <c r="G268" s="22" t="str">
        <f aca="false">IF(AND(D268="n/a",E268="n/a"),"OK",IF(OR(D268="n/a",E268="n/a"),"Diferente",IF(ABS(E268-D268)&lt;=Premissas!$B$19*MAX(1,ABS(D268)),"OK","Diferente")))</f>
        <v>OK</v>
      </c>
    </row>
    <row r="269" customFormat="false" ht="15" hidden="false" customHeight="false" outlineLevel="0" collapsed="false">
      <c r="A269" s="4" t="s">
        <v>137</v>
      </c>
      <c r="B269" s="4" t="s">
        <v>138</v>
      </c>
      <c r="C269" s="4" t="n">
        <v>9</v>
      </c>
      <c r="D269" s="28" t="n">
        <v>-0.105692720281085</v>
      </c>
      <c r="E269" s="29" t="n">
        <f aca="false">KPIs!K29</f>
        <v>-0.105692720281085</v>
      </c>
      <c r="F269" s="26" t="n">
        <f aca="false">IF(OR(D269="n/a",E269="n/a"),"",E269-D269)</f>
        <v>0</v>
      </c>
      <c r="G269" s="22" t="str">
        <f aca="false">IF(AND(D269="n/a",E269="n/a"),"OK",IF(OR(D269="n/a",E269="n/a"),"Diferente",IF(ABS(E269-D269)&lt;=Premissas!$B$19*MAX(1,ABS(D269)),"OK","Diferente")))</f>
        <v>OK</v>
      </c>
    </row>
    <row r="270" customFormat="false" ht="15" hidden="false" customHeight="false" outlineLevel="0" collapsed="false">
      <c r="A270" s="4" t="s">
        <v>137</v>
      </c>
      <c r="B270" s="4" t="s">
        <v>138</v>
      </c>
      <c r="C270" s="4" t="n">
        <v>10</v>
      </c>
      <c r="D270" s="28" t="n">
        <v>-0.201553351861363</v>
      </c>
      <c r="E270" s="29" t="n">
        <f aca="false">KPIs!L29</f>
        <v>-0.201553351861363</v>
      </c>
      <c r="F270" s="26" t="n">
        <f aca="false">IF(OR(D270="n/a",E270="n/a"),"",E270-D270)</f>
        <v>0</v>
      </c>
      <c r="G270" s="22" t="str">
        <f aca="false">IF(AND(D270="n/a",E270="n/a"),"OK",IF(OR(D270="n/a",E270="n/a"),"Diferente",IF(ABS(E270-D270)&lt;=Premissas!$B$19*MAX(1,ABS(D270)),"OK","Diferente")))</f>
        <v>OK</v>
      </c>
    </row>
    <row r="271" customFormat="false" ht="15" hidden="false" customHeight="false" outlineLevel="0" collapsed="false">
      <c r="A271" s="4" t="s">
        <v>137</v>
      </c>
      <c r="B271" s="4" t="s">
        <v>138</v>
      </c>
      <c r="C271" s="4" t="n">
        <v>11</v>
      </c>
      <c r="D271" s="28" t="n">
        <v>-0.344817184074431</v>
      </c>
      <c r="E271" s="29" t="n">
        <f aca="false">KPIs!M29</f>
        <v>-0.344817184074431</v>
      </c>
      <c r="F271" s="26" t="n">
        <f aca="false">IF(OR(D271="n/a",E271="n/a"),"",E271-D271)</f>
        <v>0</v>
      </c>
      <c r="G271" s="22" t="str">
        <f aca="false">IF(AND(D271="n/a",E271="n/a"),"OK",IF(OR(D271="n/a",E271="n/a"),"Diferente",IF(ABS(E271-D271)&lt;=Premissas!$B$19*MAX(1,ABS(D271)),"OK","Diferente")))</f>
        <v>OK</v>
      </c>
    </row>
    <row r="272" customFormat="false" ht="15" hidden="false" customHeight="false" outlineLevel="0" collapsed="false">
      <c r="A272" s="4" t="s">
        <v>137</v>
      </c>
      <c r="B272" s="4" t="s">
        <v>138</v>
      </c>
      <c r="C272" s="4" t="n">
        <v>12</v>
      </c>
      <c r="D272" s="28" t="n">
        <v>-0.0362226128494231</v>
      </c>
      <c r="E272" s="29" t="n">
        <f aca="false">KPIs!N29</f>
        <v>-0.0362226128494232</v>
      </c>
      <c r="F272" s="26" t="n">
        <f aca="false">IF(OR(D272="n/a",E272="n/a"),"",E272-D272)</f>
        <v>0</v>
      </c>
      <c r="G272" s="22" t="str">
        <f aca="false">IF(AND(D272="n/a",E272="n/a"),"OK",IF(OR(D272="n/a",E272="n/a"),"Diferente",IF(ABS(E272-D272)&lt;=Premissas!$B$19*MAX(1,ABS(D272)),"OK","Diferente")))</f>
        <v>OK</v>
      </c>
    </row>
    <row r="273" customFormat="false" ht="15" hidden="false" customHeight="false" outlineLevel="0" collapsed="false">
      <c r="A273" s="4" t="s">
        <v>139</v>
      </c>
      <c r="B273" s="4" t="s">
        <v>140</v>
      </c>
      <c r="C273" s="4" t="n">
        <v>1</v>
      </c>
      <c r="D273" s="28" t="n">
        <v>6.2330989711081</v>
      </c>
      <c r="E273" s="29" t="n">
        <f aca="false">KPIs!C30</f>
        <v>6.2330989711081</v>
      </c>
      <c r="F273" s="26" t="n">
        <f aca="false">IF(OR(D273="n/a",E273="n/a"),"",E273-D273)</f>
        <v>0</v>
      </c>
      <c r="G273" s="22" t="str">
        <f aca="false">IF(AND(D273="n/a",E273="n/a"),"OK",IF(OR(D273="n/a",E273="n/a"),"Diferente",IF(ABS(E273-D273)&lt;=Premissas!$B$19*MAX(1,ABS(D273)),"OK","Diferente")))</f>
        <v>OK</v>
      </c>
    </row>
    <row r="274" customFormat="false" ht="15" hidden="false" customHeight="false" outlineLevel="0" collapsed="false">
      <c r="A274" s="4" t="s">
        <v>139</v>
      </c>
      <c r="B274" s="4" t="s">
        <v>140</v>
      </c>
      <c r="C274" s="4" t="n">
        <v>2</v>
      </c>
      <c r="D274" s="28" t="n">
        <v>5.21483612808488</v>
      </c>
      <c r="E274" s="29" t="n">
        <f aca="false">KPIs!D30</f>
        <v>5.21483612808488</v>
      </c>
      <c r="F274" s="26" t="n">
        <f aca="false">IF(OR(D274="n/a",E274="n/a"),"",E274-D274)</f>
        <v>0</v>
      </c>
      <c r="G274" s="22" t="str">
        <f aca="false">IF(AND(D274="n/a",E274="n/a"),"OK",IF(OR(D274="n/a",E274="n/a"),"Diferente",IF(ABS(E274-D274)&lt;=Premissas!$B$19*MAX(1,ABS(D274)),"OK","Diferente")))</f>
        <v>OK</v>
      </c>
    </row>
    <row r="275" customFormat="false" ht="15" hidden="false" customHeight="false" outlineLevel="0" collapsed="false">
      <c r="A275" s="4" t="s">
        <v>139</v>
      </c>
      <c r="B275" s="4" t="s">
        <v>140</v>
      </c>
      <c r="C275" s="4" t="n">
        <v>3</v>
      </c>
      <c r="D275" s="28" t="n">
        <v>6.02055462926572</v>
      </c>
      <c r="E275" s="29" t="n">
        <f aca="false">KPIs!E30</f>
        <v>6.02055462926572</v>
      </c>
      <c r="F275" s="26" t="n">
        <f aca="false">IF(OR(D275="n/a",E275="n/a"),"",E275-D275)</f>
        <v>0</v>
      </c>
      <c r="G275" s="22" t="str">
        <f aca="false">IF(AND(D275="n/a",E275="n/a"),"OK",IF(OR(D275="n/a",E275="n/a"),"Diferente",IF(ABS(E275-D275)&lt;=Premissas!$B$19*MAX(1,ABS(D275)),"OK","Diferente")))</f>
        <v>OK</v>
      </c>
    </row>
    <row r="276" customFormat="false" ht="15" hidden="false" customHeight="false" outlineLevel="0" collapsed="false">
      <c r="A276" s="4" t="s">
        <v>139</v>
      </c>
      <c r="B276" s="4" t="s">
        <v>140</v>
      </c>
      <c r="C276" s="4" t="n">
        <v>4</v>
      </c>
      <c r="D276" s="28" t="n">
        <v>6.64077960125977</v>
      </c>
      <c r="E276" s="29" t="n">
        <f aca="false">KPIs!F30</f>
        <v>6.64077960125977</v>
      </c>
      <c r="F276" s="26" t="n">
        <f aca="false">IF(OR(D276="n/a",E276="n/a"),"",E276-D276)</f>
        <v>0</v>
      </c>
      <c r="G276" s="22" t="str">
        <f aca="false">IF(AND(D276="n/a",E276="n/a"),"OK",IF(OR(D276="n/a",E276="n/a"),"Diferente",IF(ABS(E276-D276)&lt;=Premissas!$B$19*MAX(1,ABS(D276)),"OK","Diferente")))</f>
        <v>OK</v>
      </c>
    </row>
    <row r="277" customFormat="false" ht="15" hidden="false" customHeight="false" outlineLevel="0" collapsed="false">
      <c r="A277" s="4" t="s">
        <v>139</v>
      </c>
      <c r="B277" s="4" t="s">
        <v>140</v>
      </c>
      <c r="C277" s="4" t="n">
        <v>5</v>
      </c>
      <c r="D277" s="28" t="n">
        <v>10.0454804438752</v>
      </c>
      <c r="E277" s="29" t="n">
        <f aca="false">KPIs!G30</f>
        <v>10.0454804438752</v>
      </c>
      <c r="F277" s="26" t="n">
        <f aca="false">IF(OR(D277="n/a",E277="n/a"),"",E277-D277)</f>
        <v>0</v>
      </c>
      <c r="G277" s="22" t="str">
        <f aca="false">IF(AND(D277="n/a",E277="n/a"),"OK",IF(OR(D277="n/a",E277="n/a"),"Diferente",IF(ABS(E277-D277)&lt;=Premissas!$B$19*MAX(1,ABS(D277)),"OK","Diferente")))</f>
        <v>OK</v>
      </c>
    </row>
    <row r="278" customFormat="false" ht="15" hidden="false" customHeight="false" outlineLevel="0" collapsed="false">
      <c r="A278" s="4" t="s">
        <v>139</v>
      </c>
      <c r="B278" s="4" t="s">
        <v>140</v>
      </c>
      <c r="C278" s="4" t="n">
        <v>6</v>
      </c>
      <c r="D278" s="28" t="n">
        <v>20.3095620153758</v>
      </c>
      <c r="E278" s="29" t="n">
        <f aca="false">KPIs!H30</f>
        <v>20.3095620153758</v>
      </c>
      <c r="F278" s="26" t="n">
        <f aca="false">IF(OR(D278="n/a",E278="n/a"),"",E278-D278)</f>
        <v>0</v>
      </c>
      <c r="G278" s="22" t="str">
        <f aca="false">IF(AND(D278="n/a",E278="n/a"),"OK",IF(OR(D278="n/a",E278="n/a"),"Diferente",IF(ABS(E278-D278)&lt;=Premissas!$B$19*MAX(1,ABS(D278)),"OK","Diferente")))</f>
        <v>OK</v>
      </c>
    </row>
    <row r="279" customFormat="false" ht="15" hidden="false" customHeight="false" outlineLevel="0" collapsed="false">
      <c r="A279" s="4" t="s">
        <v>139</v>
      </c>
      <c r="B279" s="4" t="s">
        <v>140</v>
      </c>
      <c r="C279" s="4" t="n">
        <v>7</v>
      </c>
      <c r="D279" s="28" t="n">
        <v>26.9459183669848</v>
      </c>
      <c r="E279" s="29" t="n">
        <f aca="false">KPIs!I30</f>
        <v>26.9459183669848</v>
      </c>
      <c r="F279" s="26" t="n">
        <f aca="false">IF(OR(D279="n/a",E279="n/a"),"",E279-D279)</f>
        <v>0</v>
      </c>
      <c r="G279" s="22" t="str">
        <f aca="false">IF(AND(D279="n/a",E279="n/a"),"OK",IF(OR(D279="n/a",E279="n/a"),"Diferente",IF(ABS(E279-D279)&lt;=Premissas!$B$19*MAX(1,ABS(D279)),"OK","Diferente")))</f>
        <v>OK</v>
      </c>
    </row>
    <row r="280" customFormat="false" ht="15" hidden="false" customHeight="false" outlineLevel="0" collapsed="false">
      <c r="A280" s="4" t="s">
        <v>139</v>
      </c>
      <c r="B280" s="4" t="s">
        <v>140</v>
      </c>
      <c r="C280" s="4" t="n">
        <v>8</v>
      </c>
      <c r="D280" s="28" t="n">
        <v>30.5189684958987</v>
      </c>
      <c r="E280" s="29" t="n">
        <f aca="false">KPIs!J30</f>
        <v>30.5189684958987</v>
      </c>
      <c r="F280" s="26" t="n">
        <f aca="false">IF(OR(D280="n/a",E280="n/a"),"",E280-D280)</f>
        <v>0</v>
      </c>
      <c r="G280" s="22" t="str">
        <f aca="false">IF(AND(D280="n/a",E280="n/a"),"OK",IF(OR(D280="n/a",E280="n/a"),"Diferente",IF(ABS(E280-D280)&lt;=Premissas!$B$19*MAX(1,ABS(D280)),"OK","Diferente")))</f>
        <v>OK</v>
      </c>
    </row>
    <row r="281" customFormat="false" ht="15" hidden="false" customHeight="false" outlineLevel="0" collapsed="false">
      <c r="A281" s="4" t="s">
        <v>139</v>
      </c>
      <c r="B281" s="4" t="s">
        <v>140</v>
      </c>
      <c r="C281" s="4" t="n">
        <v>9</v>
      </c>
      <c r="D281" s="28" t="n">
        <v>30.4299487866948</v>
      </c>
      <c r="E281" s="29" t="n">
        <f aca="false">KPIs!K30</f>
        <v>30.4299487866948</v>
      </c>
      <c r="F281" s="26" t="n">
        <f aca="false">IF(OR(D281="n/a",E281="n/a"),"",E281-D281)</f>
        <v>0</v>
      </c>
      <c r="G281" s="22" t="str">
        <f aca="false">IF(AND(D281="n/a",E281="n/a"),"OK",IF(OR(D281="n/a",E281="n/a"),"Diferente",IF(ABS(E281-D281)&lt;=Premissas!$B$19*MAX(1,ABS(D281)),"OK","Diferente")))</f>
        <v>OK</v>
      </c>
    </row>
    <row r="282" customFormat="false" ht="15" hidden="false" customHeight="false" outlineLevel="0" collapsed="false">
      <c r="A282" s="4" t="s">
        <v>139</v>
      </c>
      <c r="B282" s="4" t="s">
        <v>140</v>
      </c>
      <c r="C282" s="4" t="n">
        <v>10</v>
      </c>
      <c r="D282" s="28" t="n">
        <v>53.6309525545519</v>
      </c>
      <c r="E282" s="29" t="n">
        <f aca="false">KPIs!L30</f>
        <v>53.6309525545519</v>
      </c>
      <c r="F282" s="26" t="n">
        <f aca="false">IF(OR(D282="n/a",E282="n/a"),"",E282-D282)</f>
        <v>0</v>
      </c>
      <c r="G282" s="22" t="str">
        <f aca="false">IF(AND(D282="n/a",E282="n/a"),"OK",IF(OR(D282="n/a",E282="n/a"),"Diferente",IF(ABS(E282-D282)&lt;=Premissas!$B$19*MAX(1,ABS(D282)),"OK","Diferente")))</f>
        <v>OK</v>
      </c>
    </row>
    <row r="283" customFormat="false" ht="15" hidden="false" customHeight="false" outlineLevel="0" collapsed="false">
      <c r="A283" s="4" t="s">
        <v>139</v>
      </c>
      <c r="B283" s="4" t="s">
        <v>140</v>
      </c>
      <c r="C283" s="4" t="n">
        <v>11</v>
      </c>
      <c r="D283" s="28" t="n">
        <v>174.694051005182</v>
      </c>
      <c r="E283" s="29" t="n">
        <f aca="false">KPIs!M30</f>
        <v>174.694051005181</v>
      </c>
      <c r="F283" s="26" t="n">
        <f aca="false">IF(OR(D283="n/a",E283="n/a"),"",E283-D283)</f>
        <v>0</v>
      </c>
      <c r="G283" s="22" t="str">
        <f aca="false">IF(AND(D283="n/a",E283="n/a"),"OK",IF(OR(D283="n/a",E283="n/a"),"Diferente",IF(ABS(E283-D283)&lt;=Premissas!$B$19*MAX(1,ABS(D283)),"OK","Diferente")))</f>
        <v>OK</v>
      </c>
    </row>
    <row r="284" customFormat="false" ht="15" hidden="false" customHeight="false" outlineLevel="0" collapsed="false">
      <c r="A284" s="4" t="s">
        <v>139</v>
      </c>
      <c r="B284" s="4" t="s">
        <v>140</v>
      </c>
      <c r="C284" s="4" t="n">
        <v>12</v>
      </c>
      <c r="D284" s="28" t="n">
        <v>541.331459705486</v>
      </c>
      <c r="E284" s="29" t="n">
        <f aca="false">KPIs!N30</f>
        <v>541.331459705486</v>
      </c>
      <c r="F284" s="26" t="n">
        <f aca="false">IF(OR(D284="n/a",E284="n/a"),"",E284-D284)</f>
        <v>0</v>
      </c>
      <c r="G284" s="22" t="str">
        <f aca="false">IF(AND(D284="n/a",E284="n/a"),"OK",IF(OR(D284="n/a",E284="n/a"),"Diferente",IF(ABS(E284-D284)&lt;=Premissas!$B$19*MAX(1,ABS(D284)),"OK","Diferente")))</f>
        <v>OK</v>
      </c>
    </row>
    <row r="285" customFormat="false" ht="15" hidden="false" customHeight="false" outlineLevel="0" collapsed="false">
      <c r="A285" s="4" t="s">
        <v>142</v>
      </c>
      <c r="B285" s="4" t="s">
        <v>143</v>
      </c>
      <c r="C285" s="4" t="n">
        <v>1</v>
      </c>
      <c r="D285" s="11" t="n">
        <v>2854904571.54964</v>
      </c>
      <c r="E285" s="16" t="n">
        <f aca="false">KPIs!C32</f>
        <v>2854904571.54964</v>
      </c>
      <c r="F285" s="26" t="n">
        <f aca="false">IF(OR(D285="n/a",E285="n/a"),"",E285-D285)</f>
        <v>0</v>
      </c>
      <c r="G285" s="22" t="str">
        <f aca="false">IF(AND(D285="n/a",E285="n/a"),"OK",IF(OR(D285="n/a",E285="n/a"),"Diferente",IF(ABS(E285-D285)&lt;=Premissas!$B$19*MAX(1,ABS(D285)),"OK","Diferente")))</f>
        <v>OK</v>
      </c>
    </row>
    <row r="286" customFormat="false" ht="15" hidden="false" customHeight="false" outlineLevel="0" collapsed="false">
      <c r="A286" s="4" t="s">
        <v>142</v>
      </c>
      <c r="B286" s="4" t="s">
        <v>143</v>
      </c>
      <c r="C286" s="4" t="n">
        <v>2</v>
      </c>
      <c r="D286" s="11" t="n">
        <v>2370811519.51438</v>
      </c>
      <c r="E286" s="16" t="n">
        <f aca="false">KPIs!D32</f>
        <v>2370811519.51438</v>
      </c>
      <c r="F286" s="26" t="n">
        <f aca="false">IF(OR(D286="n/a",E286="n/a"),"",E286-D286)</f>
        <v>0</v>
      </c>
      <c r="G286" s="22" t="str">
        <f aca="false">IF(AND(D286="n/a",E286="n/a"),"OK",IF(OR(D286="n/a",E286="n/a"),"Diferente",IF(ABS(E286-D286)&lt;=Premissas!$B$19*MAX(1,ABS(D286)),"OK","Diferente")))</f>
        <v>OK</v>
      </c>
    </row>
    <row r="287" customFormat="false" ht="15" hidden="false" customHeight="false" outlineLevel="0" collapsed="false">
      <c r="A287" s="4" t="s">
        <v>142</v>
      </c>
      <c r="B287" s="4" t="s">
        <v>143</v>
      </c>
      <c r="C287" s="4" t="n">
        <v>3</v>
      </c>
      <c r="D287" s="11" t="n">
        <v>2479720074.5147</v>
      </c>
      <c r="E287" s="16" t="n">
        <f aca="false">KPIs!E32</f>
        <v>2479720074.5147</v>
      </c>
      <c r="F287" s="26" t="n">
        <f aca="false">IF(OR(D287="n/a",E287="n/a"),"",E287-D287)</f>
        <v>0</v>
      </c>
      <c r="G287" s="22" t="str">
        <f aca="false">IF(AND(D287="n/a",E287="n/a"),"OK",IF(OR(D287="n/a",E287="n/a"),"Diferente",IF(ABS(E287-D287)&lt;=Premissas!$B$19*MAX(1,ABS(D287)),"OK","Diferente")))</f>
        <v>OK</v>
      </c>
    </row>
    <row r="288" customFormat="false" ht="15" hidden="false" customHeight="false" outlineLevel="0" collapsed="false">
      <c r="A288" s="4" t="s">
        <v>142</v>
      </c>
      <c r="B288" s="4" t="s">
        <v>143</v>
      </c>
      <c r="C288" s="4" t="n">
        <v>4</v>
      </c>
      <c r="D288" s="11" t="n">
        <v>2603633571.99047</v>
      </c>
      <c r="E288" s="16" t="n">
        <f aca="false">KPIs!F32</f>
        <v>2603633571.99047</v>
      </c>
      <c r="F288" s="26" t="n">
        <f aca="false">IF(OR(D288="n/a",E288="n/a"),"",E288-D288)</f>
        <v>0</v>
      </c>
      <c r="G288" s="22" t="str">
        <f aca="false">IF(AND(D288="n/a",E288="n/a"),"OK",IF(OR(D288="n/a",E288="n/a"),"Diferente",IF(ABS(E288-D288)&lt;=Premissas!$B$19*MAX(1,ABS(D288)),"OK","Diferente")))</f>
        <v>OK</v>
      </c>
    </row>
    <row r="289" customFormat="false" ht="15" hidden="false" customHeight="false" outlineLevel="0" collapsed="false">
      <c r="A289" s="4" t="s">
        <v>142</v>
      </c>
      <c r="B289" s="4" t="s">
        <v>143</v>
      </c>
      <c r="C289" s="4" t="n">
        <v>5</v>
      </c>
      <c r="D289" s="11" t="n">
        <v>2867111403.67999</v>
      </c>
      <c r="E289" s="16" t="n">
        <f aca="false">KPIs!G32</f>
        <v>2867111403.67999</v>
      </c>
      <c r="F289" s="26" t="n">
        <f aca="false">IF(OR(D289="n/a",E289="n/a"),"",E289-D289)</f>
        <v>0</v>
      </c>
      <c r="G289" s="22" t="str">
        <f aca="false">IF(AND(D289="n/a",E289="n/a"),"OK",IF(OR(D289="n/a",E289="n/a"),"Diferente",IF(ABS(E289-D289)&lt;=Premissas!$B$19*MAX(1,ABS(D289)),"OK","Diferente")))</f>
        <v>OK</v>
      </c>
    </row>
    <row r="290" customFormat="false" ht="15" hidden="false" customHeight="false" outlineLevel="0" collapsed="false">
      <c r="A290" s="4" t="s">
        <v>142</v>
      </c>
      <c r="B290" s="4" t="s">
        <v>143</v>
      </c>
      <c r="C290" s="4" t="n">
        <v>6</v>
      </c>
      <c r="D290" s="11" t="n">
        <v>3104896922.68146</v>
      </c>
      <c r="E290" s="16" t="n">
        <f aca="false">KPIs!H32</f>
        <v>3104896922.68146</v>
      </c>
      <c r="F290" s="26" t="n">
        <f aca="false">IF(OR(D290="n/a",E290="n/a"),"",E290-D290)</f>
        <v>0</v>
      </c>
      <c r="G290" s="22" t="str">
        <f aca="false">IF(AND(D290="n/a",E290="n/a"),"OK",IF(OR(D290="n/a",E290="n/a"),"Diferente",IF(ABS(E290-D290)&lt;=Premissas!$B$19*MAX(1,ABS(D290)),"OK","Diferente")))</f>
        <v>OK</v>
      </c>
    </row>
    <row r="291" customFormat="false" ht="15" hidden="false" customHeight="false" outlineLevel="0" collapsed="false">
      <c r="A291" s="4" t="s">
        <v>142</v>
      </c>
      <c r="B291" s="4" t="s">
        <v>143</v>
      </c>
      <c r="C291" s="4" t="n">
        <v>7</v>
      </c>
      <c r="D291" s="11" t="n">
        <v>3274961990.45609</v>
      </c>
      <c r="E291" s="16" t="n">
        <f aca="false">KPIs!I32</f>
        <v>3274961990.45609</v>
      </c>
      <c r="F291" s="26" t="n">
        <f aca="false">IF(OR(D291="n/a",E291="n/a"),"",E291-D291)</f>
        <v>0</v>
      </c>
      <c r="G291" s="22" t="str">
        <f aca="false">IF(AND(D291="n/a",E291="n/a"),"OK",IF(OR(D291="n/a",E291="n/a"),"Diferente",IF(ABS(E291-D291)&lt;=Premissas!$B$19*MAX(1,ABS(D291)),"OK","Diferente")))</f>
        <v>OK</v>
      </c>
    </row>
    <row r="292" customFormat="false" ht="15" hidden="false" customHeight="false" outlineLevel="0" collapsed="false">
      <c r="A292" s="4" t="s">
        <v>142</v>
      </c>
      <c r="B292" s="4" t="s">
        <v>143</v>
      </c>
      <c r="C292" s="4" t="n">
        <v>8</v>
      </c>
      <c r="D292" s="11" t="n">
        <v>3533631256.73117</v>
      </c>
      <c r="E292" s="16" t="n">
        <f aca="false">KPIs!J32</f>
        <v>3533631256.73117</v>
      </c>
      <c r="F292" s="26" t="n">
        <f aca="false">IF(OR(D292="n/a",E292="n/a"),"",E292-D292)</f>
        <v>0</v>
      </c>
      <c r="G292" s="22" t="str">
        <f aca="false">IF(AND(D292="n/a",E292="n/a"),"OK",IF(OR(D292="n/a",E292="n/a"),"Diferente",IF(ABS(E292-D292)&lt;=Premissas!$B$19*MAX(1,ABS(D292)),"OK","Diferente")))</f>
        <v>OK</v>
      </c>
    </row>
    <row r="293" customFormat="false" ht="15" hidden="false" customHeight="false" outlineLevel="0" collapsed="false">
      <c r="A293" s="4" t="s">
        <v>142</v>
      </c>
      <c r="B293" s="4" t="s">
        <v>143</v>
      </c>
      <c r="C293" s="4" t="n">
        <v>9</v>
      </c>
      <c r="D293" s="11" t="n">
        <v>3785319930.86971</v>
      </c>
      <c r="E293" s="16" t="n">
        <f aca="false">KPIs!K32</f>
        <v>3785319930.86971</v>
      </c>
      <c r="F293" s="26" t="n">
        <f aca="false">IF(OR(D293="n/a",E293="n/a"),"",E293-D293)</f>
        <v>0</v>
      </c>
      <c r="G293" s="22" t="str">
        <f aca="false">IF(AND(D293="n/a",E293="n/a"),"OK",IF(OR(D293="n/a",E293="n/a"),"Diferente",IF(ABS(E293-D293)&lt;=Premissas!$B$19*MAX(1,ABS(D293)),"OK","Diferente")))</f>
        <v>OK</v>
      </c>
    </row>
    <row r="294" customFormat="false" ht="15" hidden="false" customHeight="false" outlineLevel="0" collapsed="false">
      <c r="A294" s="4" t="s">
        <v>142</v>
      </c>
      <c r="B294" s="4" t="s">
        <v>143</v>
      </c>
      <c r="C294" s="4" t="n">
        <v>10</v>
      </c>
      <c r="D294" s="11" t="n">
        <v>4205749552.36394</v>
      </c>
      <c r="E294" s="16" t="n">
        <f aca="false">KPIs!L32</f>
        <v>4205749552.36394</v>
      </c>
      <c r="F294" s="26" t="n">
        <f aca="false">IF(OR(D294="n/a",E294="n/a"),"",E294-D294)</f>
        <v>0</v>
      </c>
      <c r="G294" s="22" t="str">
        <f aca="false">IF(AND(D294="n/a",E294="n/a"),"OK",IF(OR(D294="n/a",E294="n/a"),"Diferente",IF(ABS(E294-D294)&lt;=Premissas!$B$19*MAX(1,ABS(D294)),"OK","Diferente")))</f>
        <v>OK</v>
      </c>
    </row>
    <row r="295" customFormat="false" ht="15" hidden="false" customHeight="false" outlineLevel="0" collapsed="false">
      <c r="A295" s="4" t="s">
        <v>142</v>
      </c>
      <c r="B295" s="4" t="s">
        <v>143</v>
      </c>
      <c r="C295" s="4" t="n">
        <v>11</v>
      </c>
      <c r="D295" s="11" t="n">
        <v>4698847872.20091</v>
      </c>
      <c r="E295" s="16" t="n">
        <f aca="false">KPIs!M32</f>
        <v>4698847872.20091</v>
      </c>
      <c r="F295" s="26" t="n">
        <f aca="false">IF(OR(D295="n/a",E295="n/a"),"",E295-D295)</f>
        <v>0</v>
      </c>
      <c r="G295" s="22" t="str">
        <f aca="false">IF(AND(D295="n/a",E295="n/a"),"OK",IF(OR(D295="n/a",E295="n/a"),"Diferente",IF(ABS(E295-D295)&lt;=Premissas!$B$19*MAX(1,ABS(D295)),"OK","Diferente")))</f>
        <v>OK</v>
      </c>
    </row>
    <row r="296" customFormat="false" ht="15" hidden="false" customHeight="false" outlineLevel="0" collapsed="false">
      <c r="A296" s="4" t="s">
        <v>142</v>
      </c>
      <c r="B296" s="4" t="s">
        <v>143</v>
      </c>
      <c r="C296" s="4" t="n">
        <v>12</v>
      </c>
      <c r="D296" s="11" t="n">
        <v>6920079380.15451</v>
      </c>
      <c r="E296" s="16" t="n">
        <f aca="false">KPIs!N32</f>
        <v>6920079380.15451</v>
      </c>
      <c r="F296" s="26" t="n">
        <f aca="false">IF(OR(D296="n/a",E296="n/a"),"",E296-D296)</f>
        <v>0</v>
      </c>
      <c r="G296" s="22" t="str">
        <f aca="false">IF(AND(D296="n/a",E296="n/a"),"OK",IF(OR(D296="n/a",E296="n/a"),"Diferente",IF(ABS(E296-D296)&lt;=Premissas!$B$19*MAX(1,ABS(D296)),"OK","Diferente")))</f>
        <v>OK</v>
      </c>
    </row>
    <row r="297" customFormat="false" ht="15" hidden="false" customHeight="false" outlineLevel="0" collapsed="false">
      <c r="A297" s="4" t="s">
        <v>144</v>
      </c>
      <c r="B297" s="4" t="s">
        <v>145</v>
      </c>
      <c r="C297" s="4" t="n">
        <v>1</v>
      </c>
      <c r="D297" s="27" t="n">
        <v>0.0867966723679339</v>
      </c>
      <c r="E297" s="7" t="n">
        <f aca="false">KPIs!C33</f>
        <v>0.086796672367934</v>
      </c>
      <c r="F297" s="26" t="n">
        <f aca="false">IF(OR(D297="n/a",E297="n/a"),"",E297-D297)</f>
        <v>0</v>
      </c>
      <c r="G297" s="22" t="str">
        <f aca="false">IF(AND(D297="n/a",E297="n/a"),"OK",IF(OR(D297="n/a",E297="n/a"),"Diferente",IF(ABS(E297-D297)&lt;=Premissas!$B$19*MAX(1,ABS(D297)),"OK","Diferente")))</f>
        <v>OK</v>
      </c>
    </row>
    <row r="298" customFormat="false" ht="15" hidden="false" customHeight="false" outlineLevel="0" collapsed="false">
      <c r="A298" s="4" t="s">
        <v>144</v>
      </c>
      <c r="B298" s="4" t="s">
        <v>145</v>
      </c>
      <c r="C298" s="4" t="n">
        <v>2</v>
      </c>
      <c r="D298" s="27" t="n">
        <v>0.0867966723679339</v>
      </c>
      <c r="E298" s="7" t="n">
        <f aca="false">KPIs!D33</f>
        <v>0.086796672367934</v>
      </c>
      <c r="F298" s="26" t="n">
        <f aca="false">IF(OR(D298="n/a",E298="n/a"),"",E298-D298)</f>
        <v>0</v>
      </c>
      <c r="G298" s="22" t="str">
        <f aca="false">IF(AND(D298="n/a",E298="n/a"),"OK",IF(OR(D298="n/a",E298="n/a"),"Diferente",IF(ABS(E298-D298)&lt;=Premissas!$B$19*MAX(1,ABS(D298)),"OK","Diferente")))</f>
        <v>OK</v>
      </c>
    </row>
    <row r="299" customFormat="false" ht="15" hidden="false" customHeight="false" outlineLevel="0" collapsed="false">
      <c r="A299" s="4" t="s">
        <v>144</v>
      </c>
      <c r="B299" s="4" t="s">
        <v>145</v>
      </c>
      <c r="C299" s="4" t="n">
        <v>3</v>
      </c>
      <c r="D299" s="27" t="n">
        <v>0.0821099968907665</v>
      </c>
      <c r="E299" s="7" t="n">
        <f aca="false">KPIs!E33</f>
        <v>0.0821099968907665</v>
      </c>
      <c r="F299" s="26" t="n">
        <f aca="false">IF(OR(D299="n/a",E299="n/a"),"",E299-D299)</f>
        <v>0</v>
      </c>
      <c r="G299" s="22" t="str">
        <f aca="false">IF(AND(D299="n/a",E299="n/a"),"OK",IF(OR(D299="n/a",E299="n/a"),"Diferente",IF(ABS(E299-D299)&lt;=Premissas!$B$19*MAX(1,ABS(D299)),"OK","Diferente")))</f>
        <v>OK</v>
      </c>
    </row>
    <row r="300" customFormat="false" ht="15" hidden="false" customHeight="false" outlineLevel="0" collapsed="false">
      <c r="A300" s="4" t="s">
        <v>144</v>
      </c>
      <c r="B300" s="4" t="s">
        <v>145</v>
      </c>
      <c r="C300" s="4" t="n">
        <v>4</v>
      </c>
      <c r="D300" s="27" t="n">
        <v>0.0824896508048819</v>
      </c>
      <c r="E300" s="7" t="n">
        <f aca="false">KPIs!F33</f>
        <v>0.0824896508048819</v>
      </c>
      <c r="F300" s="26" t="n">
        <f aca="false">IF(OR(D300="n/a",E300="n/a"),"",E300-D300)</f>
        <v>0</v>
      </c>
      <c r="G300" s="22" t="str">
        <f aca="false">IF(AND(D300="n/a",E300="n/a"),"OK",IF(OR(D300="n/a",E300="n/a"),"Diferente",IF(ABS(E300-D300)&lt;=Premissas!$B$19*MAX(1,ABS(D300)),"OK","Diferente")))</f>
        <v>OK</v>
      </c>
    </row>
    <row r="301" customFormat="false" ht="15" hidden="false" customHeight="false" outlineLevel="0" collapsed="false">
      <c r="A301" s="4" t="s">
        <v>144</v>
      </c>
      <c r="B301" s="4" t="s">
        <v>145</v>
      </c>
      <c r="C301" s="4" t="n">
        <v>5</v>
      </c>
      <c r="D301" s="27" t="n">
        <v>0.0865855353093175</v>
      </c>
      <c r="E301" s="7" t="n">
        <f aca="false">KPIs!G33</f>
        <v>0.0865855353093176</v>
      </c>
      <c r="F301" s="26" t="n">
        <f aca="false">IF(OR(D301="n/a",E301="n/a"),"",E301-D301)</f>
        <v>0</v>
      </c>
      <c r="G301" s="22" t="str">
        <f aca="false">IF(AND(D301="n/a",E301="n/a"),"OK",IF(OR(D301="n/a",E301="n/a"),"Diferente",IF(ABS(E301-D301)&lt;=Premissas!$B$19*MAX(1,ABS(D301)),"OK","Diferente")))</f>
        <v>OK</v>
      </c>
    </row>
    <row r="302" customFormat="false" ht="15" hidden="false" customHeight="false" outlineLevel="0" collapsed="false">
      <c r="A302" s="4" t="s">
        <v>144</v>
      </c>
      <c r="B302" s="4" t="s">
        <v>145</v>
      </c>
      <c r="C302" s="4" t="n">
        <v>6</v>
      </c>
      <c r="D302" s="27" t="n">
        <v>0.0932342986303511</v>
      </c>
      <c r="E302" s="7" t="n">
        <f aca="false">KPIs!H33</f>
        <v>0.0932342986303512</v>
      </c>
      <c r="F302" s="26" t="n">
        <f aca="false">IF(OR(D302="n/a",E302="n/a"),"",E302-D302)</f>
        <v>0</v>
      </c>
      <c r="G302" s="22" t="str">
        <f aca="false">IF(AND(D302="n/a",E302="n/a"),"OK",IF(OR(D302="n/a",E302="n/a"),"Diferente",IF(ABS(E302-D302)&lt;=Premissas!$B$19*MAX(1,ABS(D302)),"OK","Diferente")))</f>
        <v>OK</v>
      </c>
    </row>
    <row r="303" customFormat="false" ht="15" hidden="false" customHeight="false" outlineLevel="0" collapsed="false">
      <c r="A303" s="4" t="s">
        <v>144</v>
      </c>
      <c r="B303" s="4" t="s">
        <v>145</v>
      </c>
      <c r="C303" s="4" t="n">
        <v>7</v>
      </c>
      <c r="D303" s="27" t="n">
        <v>0.100417356907934</v>
      </c>
      <c r="E303" s="7" t="n">
        <f aca="false">KPIs!I33</f>
        <v>0.100417356907934</v>
      </c>
      <c r="F303" s="26" t="n">
        <f aca="false">IF(OR(D303="n/a",E303="n/a"),"",E303-D303)</f>
        <v>0</v>
      </c>
      <c r="G303" s="22" t="str">
        <f aca="false">IF(AND(D303="n/a",E303="n/a"),"OK",IF(OR(D303="n/a",E303="n/a"),"Diferente",IF(ABS(E303-D303)&lt;=Premissas!$B$19*MAX(1,ABS(D303)),"OK","Diferente")))</f>
        <v>OK</v>
      </c>
    </row>
    <row r="304" customFormat="false" ht="15" hidden="false" customHeight="false" outlineLevel="0" collapsed="false">
      <c r="A304" s="4" t="s">
        <v>144</v>
      </c>
      <c r="B304" s="4" t="s">
        <v>145</v>
      </c>
      <c r="C304" s="4" t="n">
        <v>8</v>
      </c>
      <c r="D304" s="27" t="n">
        <v>0.109647457686995</v>
      </c>
      <c r="E304" s="7" t="n">
        <f aca="false">KPIs!J33</f>
        <v>0.109647457686995</v>
      </c>
      <c r="F304" s="26" t="n">
        <f aca="false">IF(OR(D304="n/a",E304="n/a"),"",E304-D304)</f>
        <v>0</v>
      </c>
      <c r="G304" s="22" t="str">
        <f aca="false">IF(AND(D304="n/a",E304="n/a"),"OK",IF(OR(D304="n/a",E304="n/a"),"Diferente",IF(ABS(E304-D304)&lt;=Premissas!$B$19*MAX(1,ABS(D304)),"OK","Diferente")))</f>
        <v>OK</v>
      </c>
    </row>
    <row r="305" customFormat="false" ht="15" hidden="false" customHeight="false" outlineLevel="0" collapsed="false">
      <c r="A305" s="4" t="s">
        <v>144</v>
      </c>
      <c r="B305" s="4" t="s">
        <v>145</v>
      </c>
      <c r="C305" s="4" t="n">
        <v>9</v>
      </c>
      <c r="D305" s="27" t="n">
        <v>0.11544719327085</v>
      </c>
      <c r="E305" s="7" t="n">
        <f aca="false">KPIs!K33</f>
        <v>0.11544719327085</v>
      </c>
      <c r="F305" s="26" t="n">
        <f aca="false">IF(OR(D305="n/a",E305="n/a"),"",E305-D305)</f>
        <v>0</v>
      </c>
      <c r="G305" s="22" t="str">
        <f aca="false">IF(AND(D305="n/a",E305="n/a"),"OK",IF(OR(D305="n/a",E305="n/a"),"Diferente",IF(ABS(E305-D305)&lt;=Premissas!$B$19*MAX(1,ABS(D305)),"OK","Diferente")))</f>
        <v>OK</v>
      </c>
    </row>
    <row r="306" customFormat="false" ht="15" hidden="false" customHeight="false" outlineLevel="0" collapsed="false">
      <c r="A306" s="4" t="s">
        <v>144</v>
      </c>
      <c r="B306" s="4" t="s">
        <v>145</v>
      </c>
      <c r="C306" s="4" t="n">
        <v>10</v>
      </c>
      <c r="D306" s="27" t="n">
        <v>0.122214794280543</v>
      </c>
      <c r="E306" s="7" t="n">
        <f aca="false">KPIs!L33</f>
        <v>0.122214794280543</v>
      </c>
      <c r="F306" s="26" t="n">
        <f aca="false">IF(OR(D306="n/a",E306="n/a"),"",E306-D306)</f>
        <v>0</v>
      </c>
      <c r="G306" s="22" t="str">
        <f aca="false">IF(AND(D306="n/a",E306="n/a"),"OK",IF(OR(D306="n/a",E306="n/a"),"Diferente",IF(ABS(E306-D306)&lt;=Premissas!$B$19*MAX(1,ABS(D306)),"OK","Diferente")))</f>
        <v>OK</v>
      </c>
    </row>
    <row r="307" customFormat="false" ht="15" hidden="false" customHeight="false" outlineLevel="0" collapsed="false">
      <c r="A307" s="4" t="s">
        <v>144</v>
      </c>
      <c r="B307" s="4" t="s">
        <v>145</v>
      </c>
      <c r="C307" s="4" t="n">
        <v>11</v>
      </c>
      <c r="D307" s="27" t="n">
        <v>0.1303175407095</v>
      </c>
      <c r="E307" s="7" t="n">
        <f aca="false">KPIs!M33</f>
        <v>0.1303175407095</v>
      </c>
      <c r="F307" s="26" t="n">
        <f aca="false">IF(OR(D307="n/a",E307="n/a"),"",E307-D307)</f>
        <v>0</v>
      </c>
      <c r="G307" s="22" t="str">
        <f aca="false">IF(AND(D307="n/a",E307="n/a"),"OK",IF(OR(D307="n/a",E307="n/a"),"Diferente",IF(ABS(E307-D307)&lt;=Premissas!$B$19*MAX(1,ABS(D307)),"OK","Diferente")))</f>
        <v>OK</v>
      </c>
    </row>
    <row r="308" customFormat="false" ht="15" hidden="false" customHeight="false" outlineLevel="0" collapsed="false">
      <c r="A308" s="4" t="s">
        <v>144</v>
      </c>
      <c r="B308" s="4" t="s">
        <v>145</v>
      </c>
      <c r="C308" s="4" t="n">
        <v>12</v>
      </c>
      <c r="D308" s="27" t="n">
        <v>0.138791817400153</v>
      </c>
      <c r="E308" s="7" t="n">
        <f aca="false">KPIs!N33</f>
        <v>0.138791817400153</v>
      </c>
      <c r="F308" s="26" t="n">
        <f aca="false">IF(OR(D308="n/a",E308="n/a"),"",E308-D308)</f>
        <v>0</v>
      </c>
      <c r="G308" s="22" t="str">
        <f aca="false">IF(AND(D308="n/a",E308="n/a"),"OK",IF(OR(D308="n/a",E308="n/a"),"Diferente",IF(ABS(E308-D308)&lt;=Premissas!$B$19*MAX(1,ABS(D308)),"OK","Diferente")))</f>
        <v>OK</v>
      </c>
    </row>
    <row r="309" customFormat="false" ht="15" hidden="false" customHeight="false" outlineLevel="0" collapsed="false">
      <c r="A309" s="4" t="s">
        <v>146</v>
      </c>
      <c r="B309" s="4" t="s">
        <v>147</v>
      </c>
      <c r="C309" s="4" t="n">
        <v>1</v>
      </c>
      <c r="D309" s="11" t="n">
        <v>2165496462.48363</v>
      </c>
      <c r="E309" s="16" t="n">
        <f aca="false">KPIs!C34</f>
        <v>2165496462.48363</v>
      </c>
      <c r="F309" s="26" t="n">
        <f aca="false">IF(OR(D309="n/a",E309="n/a"),"",E309-D309)</f>
        <v>0</v>
      </c>
      <c r="G309" s="22" t="str">
        <f aca="false">IF(AND(D309="n/a",E309="n/a"),"OK",IF(OR(D309="n/a",E309="n/a"),"Diferente",IF(ABS(E309-D309)&lt;=Premissas!$B$19*MAX(1,ABS(D309)),"OK","Diferente")))</f>
        <v>OK</v>
      </c>
    </row>
    <row r="310" customFormat="false" ht="15" hidden="false" customHeight="false" outlineLevel="0" collapsed="false">
      <c r="A310" s="4" t="s">
        <v>146</v>
      </c>
      <c r="B310" s="4" t="s">
        <v>147</v>
      </c>
      <c r="C310" s="4" t="n">
        <v>2</v>
      </c>
      <c r="D310" s="11" t="n">
        <v>1681403410.44837</v>
      </c>
      <c r="E310" s="16" t="n">
        <f aca="false">KPIs!D34</f>
        <v>1681403410.44837</v>
      </c>
      <c r="F310" s="26" t="n">
        <f aca="false">IF(OR(D310="n/a",E310="n/a"),"",E310-D310)</f>
        <v>0</v>
      </c>
      <c r="G310" s="22" t="str">
        <f aca="false">IF(AND(D310="n/a",E310="n/a"),"OK",IF(OR(D310="n/a",E310="n/a"),"Diferente",IF(ABS(E310-D310)&lt;=Premissas!$B$19*MAX(1,ABS(D310)),"OK","Diferente")))</f>
        <v>OK</v>
      </c>
    </row>
    <row r="311" customFormat="false" ht="15" hidden="false" customHeight="false" outlineLevel="0" collapsed="false">
      <c r="A311" s="4" t="s">
        <v>146</v>
      </c>
      <c r="B311" s="4" t="s">
        <v>147</v>
      </c>
      <c r="C311" s="4" t="n">
        <v>3</v>
      </c>
      <c r="D311" s="11" t="n">
        <v>1868890360.67376</v>
      </c>
      <c r="E311" s="16" t="n">
        <f aca="false">KPIs!E34</f>
        <v>1868890360.67376</v>
      </c>
      <c r="F311" s="26" t="n">
        <f aca="false">IF(OR(D311="n/a",E311="n/a"),"",E311-D311)</f>
        <v>0</v>
      </c>
      <c r="G311" s="22" t="str">
        <f aca="false">IF(AND(D311="n/a",E311="n/a"),"OK",IF(OR(D311="n/a",E311="n/a"),"Diferente",IF(ABS(E311-D311)&lt;=Premissas!$B$19*MAX(1,ABS(D311)),"OK","Diferente")))</f>
        <v>OK</v>
      </c>
    </row>
    <row r="312" customFormat="false" ht="15" hidden="false" customHeight="false" outlineLevel="0" collapsed="false">
      <c r="A312" s="4" t="s">
        <v>146</v>
      </c>
      <c r="B312" s="4" t="s">
        <v>147</v>
      </c>
      <c r="C312" s="4" t="n">
        <v>4</v>
      </c>
      <c r="D312" s="11" t="n">
        <v>1982200178.70809</v>
      </c>
      <c r="E312" s="16" t="n">
        <f aca="false">KPIs!F34</f>
        <v>1982200178.70809</v>
      </c>
      <c r="F312" s="26" t="n">
        <f aca="false">IF(OR(D312="n/a",E312="n/a"),"",E312-D312)</f>
        <v>0</v>
      </c>
      <c r="G312" s="22" t="str">
        <f aca="false">IF(AND(D312="n/a",E312="n/a"),"OK",IF(OR(D312="n/a",E312="n/a"),"Diferente",IF(ABS(E312-D312)&lt;=Premissas!$B$19*MAX(1,ABS(D312)),"OK","Diferente")))</f>
        <v>OK</v>
      </c>
    </row>
    <row r="313" customFormat="false" ht="15" hidden="false" customHeight="false" outlineLevel="0" collapsed="false">
      <c r="A313" s="4" t="s">
        <v>146</v>
      </c>
      <c r="B313" s="4" t="s">
        <v>147</v>
      </c>
      <c r="C313" s="4" t="n">
        <v>5</v>
      </c>
      <c r="D313" s="11" t="n">
        <v>2310982292.84766</v>
      </c>
      <c r="E313" s="16" t="n">
        <f aca="false">KPIs!G34</f>
        <v>2310982292.84766</v>
      </c>
      <c r="F313" s="26" t="n">
        <f aca="false">IF(OR(D313="n/a",E313="n/a"),"",E313-D313)</f>
        <v>0</v>
      </c>
      <c r="G313" s="22" t="str">
        <f aca="false">IF(AND(D313="n/a",E313="n/a"),"OK",IF(OR(D313="n/a",E313="n/a"),"Diferente",IF(ABS(E313-D313)&lt;=Premissas!$B$19*MAX(1,ABS(D313)),"OK","Diferente")))</f>
        <v>OK</v>
      </c>
    </row>
    <row r="314" customFormat="false" ht="15" hidden="false" customHeight="false" outlineLevel="0" collapsed="false">
      <c r="A314" s="4" t="s">
        <v>146</v>
      </c>
      <c r="B314" s="4" t="s">
        <v>147</v>
      </c>
      <c r="C314" s="4" t="n">
        <v>6</v>
      </c>
      <c r="D314" s="11" t="n">
        <v>2601079822.35248</v>
      </c>
      <c r="E314" s="16" t="n">
        <f aca="false">KPIs!H34</f>
        <v>2601079822.35248</v>
      </c>
      <c r="F314" s="26" t="n">
        <f aca="false">IF(OR(D314="n/a",E314="n/a"),"",E314-D314)</f>
        <v>0</v>
      </c>
      <c r="G314" s="22" t="str">
        <f aca="false">IF(AND(D314="n/a",E314="n/a"),"OK",IF(OR(D314="n/a",E314="n/a"),"Diferente",IF(ABS(E314-D314)&lt;=Premissas!$B$19*MAX(1,ABS(D314)),"OK","Diferente")))</f>
        <v>OK</v>
      </c>
    </row>
    <row r="315" customFormat="false" ht="15" hidden="false" customHeight="false" outlineLevel="0" collapsed="false">
      <c r="A315" s="4" t="s">
        <v>146</v>
      </c>
      <c r="B315" s="4" t="s">
        <v>147</v>
      </c>
      <c r="C315" s="4" t="n">
        <v>7</v>
      </c>
      <c r="D315" s="11" t="n">
        <v>2798973936.19681</v>
      </c>
      <c r="E315" s="16" t="n">
        <f aca="false">KPIs!I34</f>
        <v>2798973936.19681</v>
      </c>
      <c r="F315" s="26" t="n">
        <f aca="false">IF(OR(D315="n/a",E315="n/a"),"",E315-D315)</f>
        <v>0</v>
      </c>
      <c r="G315" s="22" t="str">
        <f aca="false">IF(AND(D315="n/a",E315="n/a"),"OK",IF(OR(D315="n/a",E315="n/a"),"Diferente",IF(ABS(E315-D315)&lt;=Premissas!$B$19*MAX(1,ABS(D315)),"OK","Diferente")))</f>
        <v>OK</v>
      </c>
    </row>
    <row r="316" customFormat="false" ht="15" hidden="false" customHeight="false" outlineLevel="0" collapsed="false">
      <c r="A316" s="4" t="s">
        <v>146</v>
      </c>
      <c r="B316" s="4" t="s">
        <v>147</v>
      </c>
      <c r="C316" s="4" t="n">
        <v>8</v>
      </c>
      <c r="D316" s="11" t="n">
        <v>3090189743.18567</v>
      </c>
      <c r="E316" s="16" t="n">
        <f aca="false">KPIs!J34</f>
        <v>3090189743.18567</v>
      </c>
      <c r="F316" s="26" t="n">
        <f aca="false">IF(OR(D316="n/a",E316="n/a"),"",E316-D316)</f>
        <v>0</v>
      </c>
      <c r="G316" s="22" t="str">
        <f aca="false">IF(AND(D316="n/a",E316="n/a"),"OK",IF(OR(D316="n/a",E316="n/a"),"Diferente",IF(ABS(E316-D316)&lt;=Premissas!$B$19*MAX(1,ABS(D316)),"OK","Diferente")))</f>
        <v>OK</v>
      </c>
    </row>
    <row r="317" customFormat="false" ht="15" hidden="false" customHeight="false" outlineLevel="0" collapsed="false">
      <c r="A317" s="4" t="s">
        <v>146</v>
      </c>
      <c r="B317" s="4" t="s">
        <v>147</v>
      </c>
      <c r="C317" s="4" t="n">
        <v>9</v>
      </c>
      <c r="D317" s="11" t="n">
        <v>3329640523.52242</v>
      </c>
      <c r="E317" s="16" t="n">
        <f aca="false">KPIs!K34</f>
        <v>3329640523.52242</v>
      </c>
      <c r="F317" s="26" t="n">
        <f aca="false">IF(OR(D317="n/a",E317="n/a"),"",E317-D317)</f>
        <v>0</v>
      </c>
      <c r="G317" s="22" t="str">
        <f aca="false">IF(AND(D317="n/a",E317="n/a"),"OK",IF(OR(D317="n/a",E317="n/a"),"Diferente",IF(ABS(E317-D317)&lt;=Premissas!$B$19*MAX(1,ABS(D317)),"OK","Diferente")))</f>
        <v>OK</v>
      </c>
    </row>
    <row r="318" customFormat="false" ht="15" hidden="false" customHeight="false" outlineLevel="0" collapsed="false">
      <c r="A318" s="4" t="s">
        <v>146</v>
      </c>
      <c r="B318" s="4" t="s">
        <v>147</v>
      </c>
      <c r="C318" s="4" t="n">
        <v>10</v>
      </c>
      <c r="D318" s="11" t="n">
        <v>3730981283.28887</v>
      </c>
      <c r="E318" s="16" t="n">
        <f aca="false">KPIs!L34</f>
        <v>3730981283.28887</v>
      </c>
      <c r="F318" s="26" t="n">
        <f aca="false">IF(OR(D318="n/a",E318="n/a"),"",E318-D318)</f>
        <v>0</v>
      </c>
      <c r="G318" s="22" t="str">
        <f aca="false">IF(AND(D318="n/a",E318="n/a"),"OK",IF(OR(D318="n/a",E318="n/a"),"Diferente",IF(ABS(E318-D318)&lt;=Premissas!$B$19*MAX(1,ABS(D318)),"OK","Diferente")))</f>
        <v>OK</v>
      </c>
    </row>
    <row r="319" customFormat="false" ht="15" hidden="false" customHeight="false" outlineLevel="0" collapsed="false">
      <c r="A319" s="4" t="s">
        <v>146</v>
      </c>
      <c r="B319" s="4" t="s">
        <v>147</v>
      </c>
      <c r="C319" s="4" t="n">
        <v>11</v>
      </c>
      <c r="D319" s="11" t="n">
        <v>4183337643.57248</v>
      </c>
      <c r="E319" s="16" t="n">
        <f aca="false">KPIs!M34</f>
        <v>4183337643.57248</v>
      </c>
      <c r="F319" s="26" t="n">
        <f aca="false">IF(OR(D319="n/a",E319="n/a"),"",E319-D319)</f>
        <v>0</v>
      </c>
      <c r="G319" s="22" t="str">
        <f aca="false">IF(AND(D319="n/a",E319="n/a"),"OK",IF(OR(D319="n/a",E319="n/a"),"Diferente",IF(ABS(E319-D319)&lt;=Premissas!$B$19*MAX(1,ABS(D319)),"OK","Diferente")))</f>
        <v>OK</v>
      </c>
    </row>
    <row r="320" customFormat="false" ht="15" hidden="false" customHeight="false" outlineLevel="0" collapsed="false">
      <c r="A320" s="4" t="s">
        <v>146</v>
      </c>
      <c r="B320" s="4" t="s">
        <v>147</v>
      </c>
      <c r="C320" s="4" t="n">
        <v>12</v>
      </c>
      <c r="D320" s="11" t="n">
        <v>6349965407.76258</v>
      </c>
      <c r="E320" s="16" t="n">
        <f aca="false">KPIs!N34</f>
        <v>6349965407.76258</v>
      </c>
      <c r="F320" s="26" t="n">
        <f aca="false">IF(OR(D320="n/a",E320="n/a"),"",E320-D320)</f>
        <v>0</v>
      </c>
      <c r="G320" s="22" t="str">
        <f aca="false">IF(AND(D320="n/a",E320="n/a"),"OK",IF(OR(D320="n/a",E320="n/a"),"Diferente",IF(ABS(E320-D320)&lt;=Premissas!$B$19*MAX(1,ABS(D320)),"OK","Diferente")))</f>
        <v>OK</v>
      </c>
    </row>
    <row r="321" customFormat="false" ht="15" hidden="false" customHeight="false" outlineLevel="0" collapsed="false">
      <c r="A321" s="4" t="s">
        <v>148</v>
      </c>
      <c r="B321" s="4" t="s">
        <v>149</v>
      </c>
      <c r="C321" s="4" t="n">
        <v>1</v>
      </c>
      <c r="D321" s="11" t="n">
        <v>19306502622.9233</v>
      </c>
      <c r="E321" s="16" t="n">
        <f aca="false">KPIs!C35</f>
        <v>19306502622.9233</v>
      </c>
      <c r="F321" s="26" t="n">
        <f aca="false">IF(OR(D321="n/a",E321="n/a"),"",E321-D321)</f>
        <v>0</v>
      </c>
      <c r="G321" s="22" t="str">
        <f aca="false">IF(AND(D321="n/a",E321="n/a"),"OK",IF(OR(D321="n/a",E321="n/a"),"Diferente",IF(ABS(E321-D321)&lt;=Premissas!$B$19*MAX(1,ABS(D321)),"OK","Diferente")))</f>
        <v>OK</v>
      </c>
    </row>
    <row r="322" customFormat="false" ht="15" hidden="false" customHeight="false" outlineLevel="0" collapsed="false">
      <c r="A322" s="4" t="s">
        <v>148</v>
      </c>
      <c r="B322" s="4" t="s">
        <v>149</v>
      </c>
      <c r="C322" s="4" t="n">
        <v>2</v>
      </c>
      <c r="D322" s="11" t="n">
        <v>19300839395.2075</v>
      </c>
      <c r="E322" s="16" t="n">
        <f aca="false">KPIs!D35</f>
        <v>19300839395.2075</v>
      </c>
      <c r="F322" s="26" t="n">
        <f aca="false">IF(OR(D322="n/a",E322="n/a"),"",E322-D322)</f>
        <v>0</v>
      </c>
      <c r="G322" s="22" t="str">
        <f aca="false">IF(AND(D322="n/a",E322="n/a"),"OK",IF(OR(D322="n/a",E322="n/a"),"Diferente",IF(ABS(E322-D322)&lt;=Premissas!$B$19*MAX(1,ABS(D322)),"OK","Diferente")))</f>
        <v>OK</v>
      </c>
    </row>
    <row r="323" customFormat="false" ht="15" hidden="false" customHeight="false" outlineLevel="0" collapsed="false">
      <c r="A323" s="4" t="s">
        <v>148</v>
      </c>
      <c r="B323" s="4" t="s">
        <v>149</v>
      </c>
      <c r="C323" s="4" t="n">
        <v>3</v>
      </c>
      <c r="D323" s="11" t="n">
        <v>19549792237.9326</v>
      </c>
      <c r="E323" s="16" t="n">
        <f aca="false">KPIs!E35</f>
        <v>19549792237.9326</v>
      </c>
      <c r="F323" s="26" t="n">
        <f aca="false">IF(OR(D323="n/a",E323="n/a"),"",E323-D323)</f>
        <v>0</v>
      </c>
      <c r="G323" s="22" t="str">
        <f aca="false">IF(AND(D323="n/a",E323="n/a"),"OK",IF(OR(D323="n/a",E323="n/a"),"Diferente",IF(ABS(E323-D323)&lt;=Premissas!$B$19*MAX(1,ABS(D323)),"OK","Diferente")))</f>
        <v>OK</v>
      </c>
    </row>
    <row r="324" customFormat="false" ht="15" hidden="false" customHeight="false" outlineLevel="0" collapsed="false">
      <c r="A324" s="4" t="s">
        <v>148</v>
      </c>
      <c r="B324" s="4" t="s">
        <v>149</v>
      </c>
      <c r="C324" s="4" t="n">
        <v>4</v>
      </c>
      <c r="D324" s="11" t="n">
        <v>19140846777.3531</v>
      </c>
      <c r="E324" s="16" t="n">
        <f aca="false">KPIs!F35</f>
        <v>19140846777.3531</v>
      </c>
      <c r="F324" s="26" t="n">
        <f aca="false">IF(OR(D324="n/a",E324="n/a"),"",E324-D324)</f>
        <v>0</v>
      </c>
      <c r="G324" s="22" t="str">
        <f aca="false">IF(AND(D324="n/a",E324="n/a"),"OK",IF(OR(D324="n/a",E324="n/a"),"Diferente",IF(ABS(E324-D324)&lt;=Premissas!$B$19*MAX(1,ABS(D324)),"OK","Diferente")))</f>
        <v>OK</v>
      </c>
    </row>
    <row r="325" customFormat="false" ht="15" hidden="false" customHeight="false" outlineLevel="0" collapsed="false">
      <c r="A325" s="4" t="s">
        <v>148</v>
      </c>
      <c r="B325" s="4" t="s">
        <v>149</v>
      </c>
      <c r="C325" s="4" t="n">
        <v>5</v>
      </c>
      <c r="D325" s="11" t="n">
        <v>18117620817.3662</v>
      </c>
      <c r="E325" s="16" t="n">
        <f aca="false">KPIs!G35</f>
        <v>18117620817.3662</v>
      </c>
      <c r="F325" s="26" t="n">
        <f aca="false">IF(OR(D325="n/a",E325="n/a"),"",E325-D325)</f>
        <v>0</v>
      </c>
      <c r="G325" s="22" t="str">
        <f aca="false">IF(AND(D325="n/a",E325="n/a"),"OK",IF(OR(D325="n/a",E325="n/a"),"Diferente",IF(ABS(E325-D325)&lt;=Premissas!$B$19*MAX(1,ABS(D325)),"OK","Diferente")))</f>
        <v>OK</v>
      </c>
    </row>
    <row r="326" customFormat="false" ht="15" hidden="false" customHeight="false" outlineLevel="0" collapsed="false">
      <c r="A326" s="4" t="s">
        <v>148</v>
      </c>
      <c r="B326" s="4" t="s">
        <v>149</v>
      </c>
      <c r="C326" s="4" t="n">
        <v>6</v>
      </c>
      <c r="D326" s="11" t="n">
        <v>16704639401.6377</v>
      </c>
      <c r="E326" s="16" t="n">
        <f aca="false">KPIs!H35</f>
        <v>16704639401.6377</v>
      </c>
      <c r="F326" s="26" t="n">
        <f aca="false">IF(OR(D326="n/a",E326="n/a"),"",E326-D326)</f>
        <v>0</v>
      </c>
      <c r="G326" s="22" t="str">
        <f aca="false">IF(AND(D326="n/a",E326="n/a"),"OK",IF(OR(D326="n/a",E326="n/a"),"Diferente",IF(ABS(E326-D326)&lt;=Premissas!$B$19*MAX(1,ABS(D326)),"OK","Diferente")))</f>
        <v>OK</v>
      </c>
    </row>
    <row r="327" customFormat="false" ht="15" hidden="false" customHeight="false" outlineLevel="0" collapsed="false">
      <c r="A327" s="4" t="s">
        <v>148</v>
      </c>
      <c r="B327" s="4" t="s">
        <v>149</v>
      </c>
      <c r="C327" s="4" t="n">
        <v>7</v>
      </c>
      <c r="D327" s="11" t="n">
        <v>15146134443.4805</v>
      </c>
      <c r="E327" s="16" t="n">
        <f aca="false">KPIs!I35</f>
        <v>15146134443.4805</v>
      </c>
      <c r="F327" s="26" t="n">
        <f aca="false">IF(OR(D327="n/a",E327="n/a"),"",E327-D327)</f>
        <v>0</v>
      </c>
      <c r="G327" s="22" t="str">
        <f aca="false">IF(AND(D327="n/a",E327="n/a"),"OK",IF(OR(D327="n/a",E327="n/a"),"Diferente",IF(ABS(E327-D327)&lt;=Premissas!$B$19*MAX(1,ABS(D327)),"OK","Diferente")))</f>
        <v>OK</v>
      </c>
    </row>
    <row r="328" customFormat="false" ht="15" hidden="false" customHeight="false" outlineLevel="0" collapsed="false">
      <c r="A328" s="4" t="s">
        <v>148</v>
      </c>
      <c r="B328" s="4" t="s">
        <v>149</v>
      </c>
      <c r="C328" s="4" t="n">
        <v>8</v>
      </c>
      <c r="D328" s="11" t="n">
        <v>13280675677.5798</v>
      </c>
      <c r="E328" s="16" t="n">
        <f aca="false">KPIs!J35</f>
        <v>13280675677.5798</v>
      </c>
      <c r="F328" s="26" t="n">
        <f aca="false">IF(OR(D328="n/a",E328="n/a"),"",E328-D328)</f>
        <v>0</v>
      </c>
      <c r="G328" s="22" t="str">
        <f aca="false">IF(AND(D328="n/a",E328="n/a"),"OK",IF(OR(D328="n/a",E328="n/a"),"Diferente",IF(ABS(E328-D328)&lt;=Premissas!$B$19*MAX(1,ABS(D328)),"OK","Diferente")))</f>
        <v>OK</v>
      </c>
    </row>
    <row r="329" customFormat="false" ht="15" hidden="false" customHeight="false" outlineLevel="0" collapsed="false">
      <c r="A329" s="4" t="s">
        <v>148</v>
      </c>
      <c r="B329" s="4" t="s">
        <v>149</v>
      </c>
      <c r="C329" s="4" t="n">
        <v>9</v>
      </c>
      <c r="D329" s="11" t="n">
        <v>11282390373.6276</v>
      </c>
      <c r="E329" s="16" t="n">
        <f aca="false">KPIs!K35</f>
        <v>11282390373.6276</v>
      </c>
      <c r="F329" s="26" t="n">
        <f aca="false">IF(OR(D329="n/a",E329="n/a"),"",E329-D329)</f>
        <v>0</v>
      </c>
      <c r="G329" s="22" t="str">
        <f aca="false">IF(AND(D329="n/a",E329="n/a"),"OK",IF(OR(D329="n/a",E329="n/a"),"Diferente",IF(ABS(E329-D329)&lt;=Premissas!$B$19*MAX(1,ABS(D329)),"OK","Diferente")))</f>
        <v>OK</v>
      </c>
    </row>
    <row r="330" customFormat="false" ht="15" hidden="false" customHeight="false" outlineLevel="0" collapsed="false">
      <c r="A330" s="4" t="s">
        <v>148</v>
      </c>
      <c r="B330" s="4" t="s">
        <v>149</v>
      </c>
      <c r="C330" s="4" t="n">
        <v>10</v>
      </c>
      <c r="D330" s="11" t="n">
        <v>8769943297.31725</v>
      </c>
      <c r="E330" s="16" t="n">
        <f aca="false">KPIs!L35</f>
        <v>8769943297.31725</v>
      </c>
      <c r="F330" s="26" t="n">
        <f aca="false">IF(OR(D330="n/a",E330="n/a"),"",E330-D330)</f>
        <v>0</v>
      </c>
      <c r="G330" s="22" t="str">
        <f aca="false">IF(AND(D330="n/a",E330="n/a"),"OK",IF(OR(D330="n/a",E330="n/a"),"Diferente",IF(ABS(E330-D330)&lt;=Premissas!$B$19*MAX(1,ABS(D330)),"OK","Diferente")))</f>
        <v>OK</v>
      </c>
    </row>
    <row r="331" customFormat="false" ht="15" hidden="false" customHeight="false" outlineLevel="0" collapsed="false">
      <c r="A331" s="4" t="s">
        <v>148</v>
      </c>
      <c r="B331" s="4" t="s">
        <v>149</v>
      </c>
      <c r="C331" s="4" t="n">
        <v>11</v>
      </c>
      <c r="D331" s="11" t="n">
        <v>5617859742.11876</v>
      </c>
      <c r="E331" s="16" t="n">
        <f aca="false">KPIs!M35</f>
        <v>5617859742.11876</v>
      </c>
      <c r="F331" s="26" t="n">
        <f aca="false">IF(OR(D331="n/a",E331="n/a"),"",E331-D331)</f>
        <v>0</v>
      </c>
      <c r="G331" s="22" t="str">
        <f aca="false">IF(AND(D331="n/a",E331="n/a"),"OK",IF(OR(D331="n/a",E331="n/a"),"Diferente",IF(ABS(E331-D331)&lt;=Premissas!$B$19*MAX(1,ABS(D331)),"OK","Diferente")))</f>
        <v>OK</v>
      </c>
    </row>
    <row r="332" customFormat="false" ht="15" hidden="false" customHeight="false" outlineLevel="0" collapsed="false">
      <c r="A332" s="4" t="s">
        <v>148</v>
      </c>
      <c r="B332" s="4" t="s">
        <v>149</v>
      </c>
      <c r="C332" s="4" t="n">
        <v>12</v>
      </c>
      <c r="D332" s="11" t="n">
        <v>0</v>
      </c>
      <c r="E332" s="16" t="n">
        <f aca="false">KPIs!N35</f>
        <v>0</v>
      </c>
      <c r="F332" s="26" t="n">
        <f aca="false">IF(OR(D332="n/a",E332="n/a"),"",E332-D332)</f>
        <v>0</v>
      </c>
      <c r="G332" s="22" t="str">
        <f aca="false">IF(AND(D332="n/a",E332="n/a"),"OK",IF(OR(D332="n/a",E332="n/a"),"Diferente",IF(ABS(E332-D332)&lt;=Premissas!$B$19*MAX(1,ABS(D332)),"OK","Diferente")))</f>
        <v>OK</v>
      </c>
    </row>
    <row r="333" customFormat="false" ht="15" hidden="false" customHeight="false" outlineLevel="0" collapsed="false">
      <c r="A333" s="4" t="s">
        <v>151</v>
      </c>
      <c r="B333" s="4" t="s">
        <v>152</v>
      </c>
      <c r="C333" s="4" t="n">
        <v>1</v>
      </c>
      <c r="D333" s="30" t="n">
        <v>160</v>
      </c>
      <c r="E333" s="31" t="n">
        <f aca="false">KPIs!C37</f>
        <v>160</v>
      </c>
      <c r="F333" s="26" t="n">
        <f aca="false">IF(OR(D333="n/a",E333="n/a"),"",E333-D333)</f>
        <v>0</v>
      </c>
      <c r="G333" s="22" t="str">
        <f aca="false">IF(AND(D333="n/a",E333="n/a"),"OK",IF(OR(D333="n/a",E333="n/a"),"Diferente",IF(ABS(E333-D333)&lt;=Premissas!$B$19*MAX(1,ABS(D333)),"OK","Diferente")))</f>
        <v>OK</v>
      </c>
    </row>
    <row r="334" customFormat="false" ht="15" hidden="false" customHeight="false" outlineLevel="0" collapsed="false">
      <c r="A334" s="4" t="s">
        <v>151</v>
      </c>
      <c r="B334" s="4" t="s">
        <v>152</v>
      </c>
      <c r="C334" s="4" t="n">
        <v>2</v>
      </c>
      <c r="D334" s="30" t="n">
        <v>452.596246660336</v>
      </c>
      <c r="E334" s="31" t="n">
        <f aca="false">KPIs!D37</f>
        <v>452.596246660336</v>
      </c>
      <c r="F334" s="26" t="n">
        <f aca="false">IF(OR(D334="n/a",E334="n/a"),"",E334-D334)</f>
        <v>0</v>
      </c>
      <c r="G334" s="22" t="str">
        <f aca="false">IF(AND(D334="n/a",E334="n/a"),"OK",IF(OR(D334="n/a",E334="n/a"),"Diferente",IF(ABS(E334-D334)&lt;=Premissas!$B$19*MAX(1,ABS(D334)),"OK","Diferente")))</f>
        <v>OK</v>
      </c>
    </row>
    <row r="335" customFormat="false" ht="15" hidden="false" customHeight="false" outlineLevel="0" collapsed="false">
      <c r="A335" s="4" t="s">
        <v>151</v>
      </c>
      <c r="B335" s="4" t="s">
        <v>152</v>
      </c>
      <c r="C335" s="4" t="n">
        <v>3</v>
      </c>
      <c r="D335" s="30" t="n">
        <v>144.22178789842</v>
      </c>
      <c r="E335" s="31" t="n">
        <f aca="false">KPIs!E37</f>
        <v>144.22178789842</v>
      </c>
      <c r="F335" s="26" t="n">
        <f aca="false">IF(OR(D335="n/a",E335="n/a"),"",E335-D335)</f>
        <v>0</v>
      </c>
      <c r="G335" s="22" t="str">
        <f aca="false">IF(AND(D335="n/a",E335="n/a"),"OK",IF(OR(D335="n/a",E335="n/a"),"Diferente",IF(ABS(E335-D335)&lt;=Premissas!$B$19*MAX(1,ABS(D335)),"OK","Diferente")))</f>
        <v>OK</v>
      </c>
    </row>
    <row r="336" customFormat="false" ht="15" hidden="false" customHeight="false" outlineLevel="0" collapsed="false">
      <c r="A336" s="4" t="s">
        <v>151</v>
      </c>
      <c r="B336" s="4" t="s">
        <v>152</v>
      </c>
      <c r="C336" s="4" t="n">
        <v>4</v>
      </c>
      <c r="D336" s="30" t="n">
        <v>131.494387345945</v>
      </c>
      <c r="E336" s="31" t="n">
        <f aca="false">KPIs!F37</f>
        <v>131.494387345945</v>
      </c>
      <c r="F336" s="26" t="n">
        <f aca="false">IF(OR(D336="n/a",E336="n/a"),"",E336-D336)</f>
        <v>0</v>
      </c>
      <c r="G336" s="22" t="str">
        <f aca="false">IF(AND(D336="n/a",E336="n/a"),"OK",IF(OR(D336="n/a",E336="n/a"),"Diferente",IF(ABS(E336-D336)&lt;=Premissas!$B$19*MAX(1,ABS(D336)),"OK","Diferente")))</f>
        <v>OK</v>
      </c>
    </row>
    <row r="337" customFormat="false" ht="15" hidden="false" customHeight="false" outlineLevel="0" collapsed="false">
      <c r="A337" s="4" t="s">
        <v>151</v>
      </c>
      <c r="B337" s="4" t="s">
        <v>152</v>
      </c>
      <c r="C337" s="4" t="n">
        <v>5</v>
      </c>
      <c r="D337" s="30" t="n">
        <v>125.248037369434</v>
      </c>
      <c r="E337" s="31" t="n">
        <f aca="false">KPIs!G37</f>
        <v>125.248037369434</v>
      </c>
      <c r="F337" s="26" t="n">
        <f aca="false">IF(OR(D337="n/a",E337="n/a"),"",E337-D337)</f>
        <v>0</v>
      </c>
      <c r="G337" s="22" t="str">
        <f aca="false">IF(AND(D337="n/a",E337="n/a"),"OK",IF(OR(D337="n/a",E337="n/a"),"Diferente",IF(ABS(E337-D337)&lt;=Premissas!$B$19*MAX(1,ABS(D337)),"OK","Diferente")))</f>
        <v>OK</v>
      </c>
    </row>
    <row r="338" customFormat="false" ht="15" hidden="false" customHeight="false" outlineLevel="0" collapsed="false">
      <c r="A338" s="4" t="s">
        <v>151</v>
      </c>
      <c r="B338" s="4" t="s">
        <v>152</v>
      </c>
      <c r="C338" s="4" t="n">
        <v>6</v>
      </c>
      <c r="D338" s="30" t="n">
        <v>120.123877857708</v>
      </c>
      <c r="E338" s="31" t="n">
        <f aca="false">KPIs!H37</f>
        <v>120.123877857708</v>
      </c>
      <c r="F338" s="26" t="n">
        <f aca="false">IF(OR(D338="n/a",E338="n/a"),"",E338-D338)</f>
        <v>0</v>
      </c>
      <c r="G338" s="22" t="str">
        <f aca="false">IF(AND(D338="n/a",E338="n/a"),"OK",IF(OR(D338="n/a",E338="n/a"),"Diferente",IF(ABS(E338-D338)&lt;=Premissas!$B$19*MAX(1,ABS(D338)),"OK","Diferente")))</f>
        <v>OK</v>
      </c>
    </row>
    <row r="339" customFormat="false" ht="15" hidden="false" customHeight="false" outlineLevel="0" collapsed="false">
      <c r="A339" s="4" t="s">
        <v>151</v>
      </c>
      <c r="B339" s="4" t="s">
        <v>152</v>
      </c>
      <c r="C339" s="4" t="n">
        <v>7</v>
      </c>
      <c r="D339" s="30" t="n">
        <v>120.467093080085</v>
      </c>
      <c r="E339" s="31" t="n">
        <f aca="false">KPIs!I37</f>
        <v>120.467093080085</v>
      </c>
      <c r="F339" s="26" t="n">
        <f aca="false">IF(OR(D339="n/a",E339="n/a"),"",E339-D339)</f>
        <v>0</v>
      </c>
      <c r="G339" s="22" t="str">
        <f aca="false">IF(AND(D339="n/a",E339="n/a"),"OK",IF(OR(D339="n/a",E339="n/a"),"Diferente",IF(ABS(E339-D339)&lt;=Premissas!$B$19*MAX(1,ABS(D339)),"OK","Diferente")))</f>
        <v>OK</v>
      </c>
    </row>
    <row r="340" customFormat="false" ht="15" hidden="false" customHeight="false" outlineLevel="0" collapsed="false">
      <c r="A340" s="4" t="s">
        <v>151</v>
      </c>
      <c r="B340" s="4" t="s">
        <v>152</v>
      </c>
      <c r="C340" s="4" t="n">
        <v>8</v>
      </c>
      <c r="D340" s="30" t="n">
        <v>117.383185630008</v>
      </c>
      <c r="E340" s="31" t="n">
        <f aca="false">KPIs!J37</f>
        <v>117.383185630008</v>
      </c>
      <c r="F340" s="26" t="n">
        <f aca="false">IF(OR(D340="n/a",E340="n/a"),"",E340-D340)</f>
        <v>0</v>
      </c>
      <c r="G340" s="22" t="str">
        <f aca="false">IF(AND(D340="n/a",E340="n/a"),"OK",IF(OR(D340="n/a",E340="n/a"),"Diferente",IF(ABS(E340-D340)&lt;=Premissas!$B$19*MAX(1,ABS(D340)),"OK","Diferente")))</f>
        <v>OK</v>
      </c>
    </row>
    <row r="341" customFormat="false" ht="15" hidden="false" customHeight="false" outlineLevel="0" collapsed="false">
      <c r="A341" s="4" t="s">
        <v>151</v>
      </c>
      <c r="B341" s="4" t="s">
        <v>152</v>
      </c>
      <c r="C341" s="4" t="n">
        <v>9</v>
      </c>
      <c r="D341" s="30" t="n">
        <v>120.407725274252</v>
      </c>
      <c r="E341" s="31" t="n">
        <f aca="false">KPIs!K37</f>
        <v>120.407725274252</v>
      </c>
      <c r="F341" s="26" t="n">
        <f aca="false">IF(OR(D341="n/a",E341="n/a"),"",E341-D341)</f>
        <v>0</v>
      </c>
      <c r="G341" s="22" t="str">
        <f aca="false">IF(AND(D341="n/a",E341="n/a"),"OK",IF(OR(D341="n/a",E341="n/a"),"Diferente",IF(ABS(E341-D341)&lt;=Premissas!$B$19*MAX(1,ABS(D341)),"OK","Diferente")))</f>
        <v>OK</v>
      </c>
    </row>
    <row r="342" customFormat="false" ht="15" hidden="false" customHeight="false" outlineLevel="0" collapsed="false">
      <c r="A342" s="4" t="s">
        <v>151</v>
      </c>
      <c r="B342" s="4" t="s">
        <v>152</v>
      </c>
      <c r="C342" s="4" t="n">
        <v>10</v>
      </c>
      <c r="D342" s="30" t="n">
        <v>118.399780160158</v>
      </c>
      <c r="E342" s="31" t="n">
        <f aca="false">KPIs!L37</f>
        <v>118.399780160158</v>
      </c>
      <c r="F342" s="26" t="n">
        <f aca="false">IF(OR(D342="n/a",E342="n/a"),"",E342-D342)</f>
        <v>0</v>
      </c>
      <c r="G342" s="22" t="str">
        <f aca="false">IF(AND(D342="n/a",E342="n/a"),"OK",IF(OR(D342="n/a",E342="n/a"),"Diferente",IF(ABS(E342-D342)&lt;=Premissas!$B$19*MAX(1,ABS(D342)),"OK","Diferente")))</f>
        <v>OK</v>
      </c>
    </row>
    <row r="343" customFormat="false" ht="15" hidden="false" customHeight="false" outlineLevel="0" collapsed="false">
      <c r="A343" s="4" t="s">
        <v>151</v>
      </c>
      <c r="B343" s="4" t="s">
        <v>152</v>
      </c>
      <c r="C343" s="4" t="n">
        <v>11</v>
      </c>
      <c r="D343" s="30" t="n">
        <v>119.447235431367</v>
      </c>
      <c r="E343" s="31" t="n">
        <f aca="false">KPIs!M37</f>
        <v>119.447235431367</v>
      </c>
      <c r="F343" s="26" t="n">
        <f aca="false">IF(OR(D343="n/a",E343="n/a"),"",E343-D343)</f>
        <v>0</v>
      </c>
      <c r="G343" s="22" t="str">
        <f aca="false">IF(AND(D343="n/a",E343="n/a"),"OK",IF(OR(D343="n/a",E343="n/a"),"Diferente",IF(ABS(E343-D343)&lt;=Premissas!$B$19*MAX(1,ABS(D343)),"OK","Diferente")))</f>
        <v>OK</v>
      </c>
    </row>
    <row r="344" customFormat="false" ht="15" hidden="false" customHeight="false" outlineLevel="0" collapsed="false">
      <c r="A344" s="4" t="s">
        <v>151</v>
      </c>
      <c r="B344" s="4" t="s">
        <v>152</v>
      </c>
      <c r="C344" s="4" t="n">
        <v>12</v>
      </c>
      <c r="D344" s="30" t="n">
        <v>77.584035260105</v>
      </c>
      <c r="E344" s="31" t="n">
        <f aca="false">KPIs!N37</f>
        <v>77.584035260105</v>
      </c>
      <c r="F344" s="26" t="n">
        <f aca="false">IF(OR(D344="n/a",E344="n/a"),"",E344-D344)</f>
        <v>0</v>
      </c>
      <c r="G344" s="22" t="str">
        <f aca="false">IF(AND(D344="n/a",E344="n/a"),"OK",IF(OR(D344="n/a",E344="n/a"),"Diferente",IF(ABS(E344-D344)&lt;=Premissas!$B$19*MAX(1,ABS(D344)),"OK","Diferente")))</f>
        <v>OK</v>
      </c>
    </row>
    <row r="345" customFormat="false" ht="15" hidden="false" customHeight="false" outlineLevel="0" collapsed="false">
      <c r="A345" s="4" t="s">
        <v>154</v>
      </c>
      <c r="B345" s="4" t="s">
        <v>155</v>
      </c>
      <c r="C345" s="4" t="n">
        <v>1</v>
      </c>
      <c r="D345" s="30" t="n">
        <v>7477.41842736817</v>
      </c>
      <c r="E345" s="31" t="n">
        <f aca="false">KPIs!C38</f>
        <v>7477.41842736817</v>
      </c>
      <c r="F345" s="26" t="n">
        <f aca="false">IF(OR(D345="n/a",E345="n/a"),"",E345-D345)</f>
        <v>0</v>
      </c>
      <c r="G345" s="22" t="str">
        <f aca="false">IF(AND(D345="n/a",E345="n/a"),"OK",IF(OR(D345="n/a",E345="n/a"),"Diferente",IF(ABS(E345-D345)&lt;=Premissas!$B$19*MAX(1,ABS(D345)),"OK","Diferente")))</f>
        <v>OK</v>
      </c>
    </row>
    <row r="346" customFormat="false" ht="15" hidden="false" customHeight="false" outlineLevel="0" collapsed="false">
      <c r="A346" s="4" t="s">
        <v>154</v>
      </c>
      <c r="B346" s="4" t="s">
        <v>155</v>
      </c>
      <c r="C346" s="4" t="n">
        <v>2</v>
      </c>
      <c r="D346" s="30" t="n">
        <v>7429.72170988822</v>
      </c>
      <c r="E346" s="31" t="n">
        <f aca="false">KPIs!D38</f>
        <v>7429.72170988822</v>
      </c>
      <c r="F346" s="26" t="n">
        <f aca="false">IF(OR(D346="n/a",E346="n/a"),"",E346-D346)</f>
        <v>0</v>
      </c>
      <c r="G346" s="22" t="str">
        <f aca="false">IF(AND(D346="n/a",E346="n/a"),"OK",IF(OR(D346="n/a",E346="n/a"),"Diferente",IF(ABS(E346-D346)&lt;=Premissas!$B$19*MAX(1,ABS(D346)),"OK","Diferente")))</f>
        <v>OK</v>
      </c>
    </row>
    <row r="347" customFormat="false" ht="15" hidden="false" customHeight="false" outlineLevel="0" collapsed="false">
      <c r="A347" s="4" t="s">
        <v>154</v>
      </c>
      <c r="B347" s="4" t="s">
        <v>155</v>
      </c>
      <c r="C347" s="4" t="n">
        <v>3</v>
      </c>
      <c r="D347" s="30" t="n">
        <v>7482.82013563084</v>
      </c>
      <c r="E347" s="31" t="n">
        <f aca="false">KPIs!E38</f>
        <v>7482.82013563084</v>
      </c>
      <c r="F347" s="26" t="n">
        <f aca="false">IF(OR(D347="n/a",E347="n/a"),"",E347-D347)</f>
        <v>0</v>
      </c>
      <c r="G347" s="22" t="str">
        <f aca="false">IF(AND(D347="n/a",E347="n/a"),"OK",IF(OR(D347="n/a",E347="n/a"),"Diferente",IF(ABS(E347-D347)&lt;=Premissas!$B$19*MAX(1,ABS(D347)),"OK","Diferente")))</f>
        <v>OK</v>
      </c>
    </row>
    <row r="348" customFormat="false" ht="15" hidden="false" customHeight="false" outlineLevel="0" collapsed="false">
      <c r="A348" s="4" t="s">
        <v>154</v>
      </c>
      <c r="B348" s="4" t="s">
        <v>155</v>
      </c>
      <c r="C348" s="4" t="n">
        <v>4</v>
      </c>
      <c r="D348" s="30" t="n">
        <v>7501.30993879773</v>
      </c>
      <c r="E348" s="31" t="n">
        <f aca="false">KPIs!F38</f>
        <v>7501.30993879773</v>
      </c>
      <c r="F348" s="26" t="n">
        <f aca="false">IF(OR(D348="n/a",E348="n/a"),"",E348-D348)</f>
        <v>0</v>
      </c>
      <c r="G348" s="22" t="str">
        <f aca="false">IF(AND(D348="n/a",E348="n/a"),"OK",IF(OR(D348="n/a",E348="n/a"),"Diferente",IF(ABS(E348-D348)&lt;=Premissas!$B$19*MAX(1,ABS(D348)),"OK","Diferente")))</f>
        <v>OK</v>
      </c>
    </row>
    <row r="349" customFormat="false" ht="15" hidden="false" customHeight="false" outlineLevel="0" collapsed="false">
      <c r="A349" s="4" t="s">
        <v>154</v>
      </c>
      <c r="B349" s="4" t="s">
        <v>155</v>
      </c>
      <c r="C349" s="4" t="n">
        <v>5</v>
      </c>
      <c r="D349" s="30" t="n">
        <v>7567.27223085075</v>
      </c>
      <c r="E349" s="31" t="n">
        <f aca="false">KPIs!G38</f>
        <v>7567.27223085075</v>
      </c>
      <c r="F349" s="26" t="n">
        <f aca="false">IF(OR(D349="n/a",E349="n/a"),"",E349-D349)</f>
        <v>0</v>
      </c>
      <c r="G349" s="22" t="str">
        <f aca="false">IF(AND(D349="n/a",E349="n/a"),"OK",IF(OR(D349="n/a",E349="n/a"),"Diferente",IF(ABS(E349-D349)&lt;=Premissas!$B$19*MAX(1,ABS(D349)),"OK","Diferente")))</f>
        <v>OK</v>
      </c>
    </row>
    <row r="350" customFormat="false" ht="15" hidden="false" customHeight="false" outlineLevel="0" collapsed="false">
      <c r="A350" s="4" t="s">
        <v>154</v>
      </c>
      <c r="B350" s="4" t="s">
        <v>155</v>
      </c>
      <c r="C350" s="4" t="n">
        <v>6</v>
      </c>
      <c r="D350" s="30" t="n">
        <v>7588.16428669975</v>
      </c>
      <c r="E350" s="31" t="n">
        <f aca="false">KPIs!H38</f>
        <v>7588.16428669975</v>
      </c>
      <c r="F350" s="26" t="n">
        <f aca="false">IF(OR(D350="n/a",E350="n/a"),"",E350-D350)</f>
        <v>0</v>
      </c>
      <c r="G350" s="22" t="str">
        <f aca="false">IF(AND(D350="n/a",E350="n/a"),"OK",IF(OR(D350="n/a",E350="n/a"),"Diferente",IF(ABS(E350-D350)&lt;=Premissas!$B$19*MAX(1,ABS(D350)),"OK","Diferente")))</f>
        <v>OK</v>
      </c>
    </row>
    <row r="351" customFormat="false" ht="15" hidden="false" customHeight="false" outlineLevel="0" collapsed="false">
      <c r="A351" s="4" t="s">
        <v>154</v>
      </c>
      <c r="B351" s="4" t="s">
        <v>155</v>
      </c>
      <c r="C351" s="4" t="n">
        <v>7</v>
      </c>
      <c r="D351" s="30" t="n">
        <v>7568.12926867501</v>
      </c>
      <c r="E351" s="31" t="n">
        <f aca="false">KPIs!I38</f>
        <v>7568.12926867501</v>
      </c>
      <c r="F351" s="26" t="n">
        <f aca="false">IF(OR(D351="n/a",E351="n/a"),"",E351-D351)</f>
        <v>0</v>
      </c>
      <c r="G351" s="22" t="str">
        <f aca="false">IF(AND(D351="n/a",E351="n/a"),"OK",IF(OR(D351="n/a",E351="n/a"),"Diferente",IF(ABS(E351-D351)&lt;=Premissas!$B$19*MAX(1,ABS(D351)),"OK","Diferente")))</f>
        <v>OK</v>
      </c>
    </row>
    <row r="352" customFormat="false" ht="15" hidden="false" customHeight="false" outlineLevel="0" collapsed="false">
      <c r="A352" s="4" t="s">
        <v>154</v>
      </c>
      <c r="B352" s="4" t="s">
        <v>155</v>
      </c>
      <c r="C352" s="4" t="n">
        <v>8</v>
      </c>
      <c r="D352" s="30" t="n">
        <v>7572.41114430111</v>
      </c>
      <c r="E352" s="31" t="n">
        <f aca="false">KPIs!J38</f>
        <v>7572.41114430111</v>
      </c>
      <c r="F352" s="26" t="n">
        <f aca="false">IF(OR(D352="n/a",E352="n/a"),"",E352-D352)</f>
        <v>0</v>
      </c>
      <c r="G352" s="22" t="str">
        <f aca="false">IF(AND(D352="n/a",E352="n/a"),"OK",IF(OR(D352="n/a",E352="n/a"),"Diferente",IF(ABS(E352-D352)&lt;=Premissas!$B$19*MAX(1,ABS(D352)),"OK","Diferente")))</f>
        <v>OK</v>
      </c>
    </row>
    <row r="353" customFormat="false" ht="15" hidden="false" customHeight="false" outlineLevel="0" collapsed="false">
      <c r="A353" s="4" t="s">
        <v>154</v>
      </c>
      <c r="B353" s="4" t="s">
        <v>155</v>
      </c>
      <c r="C353" s="4" t="n">
        <v>9</v>
      </c>
      <c r="D353" s="30" t="n">
        <v>7576.3681905816</v>
      </c>
      <c r="E353" s="31" t="n">
        <f aca="false">KPIs!K38</f>
        <v>7576.3681905816</v>
      </c>
      <c r="F353" s="26" t="n">
        <f aca="false">IF(OR(D353="n/a",E353="n/a"),"",E353-D353)</f>
        <v>0</v>
      </c>
      <c r="G353" s="22" t="str">
        <f aca="false">IF(AND(D353="n/a",E353="n/a"),"OK",IF(OR(D353="n/a",E353="n/a"),"Diferente",IF(ABS(E353-D353)&lt;=Premissas!$B$19*MAX(1,ABS(D353)),"OK","Diferente")))</f>
        <v>OK</v>
      </c>
    </row>
    <row r="354" customFormat="false" ht="15" hidden="false" customHeight="false" outlineLevel="0" collapsed="false">
      <c r="A354" s="4" t="s">
        <v>154</v>
      </c>
      <c r="B354" s="4" t="s">
        <v>155</v>
      </c>
      <c r="C354" s="4" t="n">
        <v>10</v>
      </c>
      <c r="D354" s="30" t="n">
        <v>7640.5936864039</v>
      </c>
      <c r="E354" s="31" t="n">
        <f aca="false">KPIs!L38</f>
        <v>7640.5936864039</v>
      </c>
      <c r="F354" s="26" t="n">
        <f aca="false">IF(OR(D354="n/a",E354="n/a"),"",E354-D354)</f>
        <v>0</v>
      </c>
      <c r="G354" s="22" t="str">
        <f aca="false">IF(AND(D354="n/a",E354="n/a"),"OK",IF(OR(D354="n/a",E354="n/a"),"Diferente",IF(ABS(E354-D354)&lt;=Premissas!$B$19*MAX(1,ABS(D354)),"OK","Diferente")))</f>
        <v>OK</v>
      </c>
    </row>
    <row r="355" customFormat="false" ht="15" hidden="false" customHeight="false" outlineLevel="0" collapsed="false">
      <c r="A355" s="4" t="s">
        <v>154</v>
      </c>
      <c r="B355" s="4" t="s">
        <v>155</v>
      </c>
      <c r="C355" s="4" t="n">
        <v>11</v>
      </c>
      <c r="D355" s="30" t="n">
        <v>7721.71422343983</v>
      </c>
      <c r="E355" s="31" t="n">
        <f aca="false">KPIs!M38</f>
        <v>7721.71422343983</v>
      </c>
      <c r="F355" s="26" t="n">
        <f aca="false">IF(OR(D355="n/a",E355="n/a"),"",E355-D355)</f>
        <v>0</v>
      </c>
      <c r="G355" s="22" t="str">
        <f aca="false">IF(AND(D355="n/a",E355="n/a"),"OK",IF(OR(D355="n/a",E355="n/a"),"Diferente",IF(ABS(E355-D355)&lt;=Premissas!$B$19*MAX(1,ABS(D355)),"OK","Diferente")))</f>
        <v>OK</v>
      </c>
    </row>
    <row r="356" customFormat="false" ht="15" hidden="false" customHeight="false" outlineLevel="0" collapsed="false">
      <c r="A356" s="4" t="s">
        <v>154</v>
      </c>
      <c r="B356" s="4" t="s">
        <v>155</v>
      </c>
      <c r="C356" s="4" t="n">
        <v>12</v>
      </c>
      <c r="D356" s="30" t="n">
        <v>7764.78907537693</v>
      </c>
      <c r="E356" s="31" t="n">
        <f aca="false">KPIs!N38</f>
        <v>7764.78907537693</v>
      </c>
      <c r="F356" s="26" t="n">
        <f aca="false">IF(OR(D356="n/a",E356="n/a"),"",E356-D356)</f>
        <v>0</v>
      </c>
      <c r="G356" s="22" t="str">
        <f aca="false">IF(AND(D356="n/a",E356="n/a"),"OK",IF(OR(D356="n/a",E356="n/a"),"Diferente",IF(ABS(E356-D356)&lt;=Premissas!$B$19*MAX(1,ABS(D356)),"OK","Diferente")))</f>
        <v>OK</v>
      </c>
    </row>
    <row r="357" customFormat="false" ht="15" hidden="false" customHeight="false" outlineLevel="0" collapsed="false">
      <c r="A357" s="4" t="s">
        <v>156</v>
      </c>
      <c r="B357" s="4" t="s">
        <v>157</v>
      </c>
      <c r="C357" s="4" t="n">
        <v>1</v>
      </c>
      <c r="D357" s="28" t="n">
        <v>46.7338651710511</v>
      </c>
      <c r="E357" s="29" t="n">
        <f aca="false">KPIs!C39</f>
        <v>46.7338651710511</v>
      </c>
      <c r="F357" s="26" t="n">
        <f aca="false">IF(OR(D357="n/a",E357="n/a"),"",E357-D357)</f>
        <v>0</v>
      </c>
      <c r="G357" s="22" t="str">
        <f aca="false">IF(AND(D357="n/a",E357="n/a"),"OK",IF(OR(D357="n/a",E357="n/a"),"Diferente",IF(ABS(E357-D357)&lt;=Premissas!$B$19*MAX(1,ABS(D357)),"OK","Diferente")))</f>
        <v>OK</v>
      </c>
    </row>
    <row r="358" customFormat="false" ht="15" hidden="false" customHeight="false" outlineLevel="0" collapsed="false">
      <c r="A358" s="4" t="s">
        <v>156</v>
      </c>
      <c r="B358" s="4" t="s">
        <v>157</v>
      </c>
      <c r="C358" s="4" t="n">
        <v>2</v>
      </c>
      <c r="D358" s="28" t="n">
        <v>16.4157828632284</v>
      </c>
      <c r="E358" s="29" t="n">
        <f aca="false">KPIs!D39</f>
        <v>16.4157828632284</v>
      </c>
      <c r="F358" s="26" t="n">
        <f aca="false">IF(OR(D358="n/a",E358="n/a"),"",E358-D358)</f>
        <v>0</v>
      </c>
      <c r="G358" s="22" t="str">
        <f aca="false">IF(AND(D358="n/a",E358="n/a"),"OK",IF(OR(D358="n/a",E358="n/a"),"Diferente",IF(ABS(E358-D358)&lt;=Premissas!$B$19*MAX(1,ABS(D358)),"OK","Diferente")))</f>
        <v>OK</v>
      </c>
    </row>
    <row r="359" customFormat="false" ht="15" hidden="false" customHeight="false" outlineLevel="0" collapsed="false">
      <c r="A359" s="4" t="s">
        <v>156</v>
      </c>
      <c r="B359" s="4" t="s">
        <v>157</v>
      </c>
      <c r="C359" s="4" t="n">
        <v>3</v>
      </c>
      <c r="D359" s="28" t="n">
        <v>51.8841171273043</v>
      </c>
      <c r="E359" s="29" t="n">
        <f aca="false">KPIs!E39</f>
        <v>51.8841171273043</v>
      </c>
      <c r="F359" s="26" t="n">
        <f aca="false">IF(OR(D359="n/a",E359="n/a"),"",E359-D359)</f>
        <v>0</v>
      </c>
      <c r="G359" s="22" t="str">
        <f aca="false">IF(AND(D359="n/a",E359="n/a"),"OK",IF(OR(D359="n/a",E359="n/a"),"Diferente",IF(ABS(E359-D359)&lt;=Premissas!$B$19*MAX(1,ABS(D359)),"OK","Diferente")))</f>
        <v>OK</v>
      </c>
    </row>
    <row r="360" customFormat="false" ht="15" hidden="false" customHeight="false" outlineLevel="0" collapsed="false">
      <c r="A360" s="4" t="s">
        <v>156</v>
      </c>
      <c r="B360" s="4" t="s">
        <v>157</v>
      </c>
      <c r="C360" s="4" t="n">
        <v>4</v>
      </c>
      <c r="D360" s="28" t="n">
        <v>57.0466168952347</v>
      </c>
      <c r="E360" s="29" t="n">
        <f aca="false">KPIs!F39</f>
        <v>57.0466168952347</v>
      </c>
      <c r="F360" s="26" t="n">
        <f aca="false">IF(OR(D360="n/a",E360="n/a"),"",E360-D360)</f>
        <v>0</v>
      </c>
      <c r="G360" s="22" t="str">
        <f aca="false">IF(AND(D360="n/a",E360="n/a"),"OK",IF(OR(D360="n/a",E360="n/a"),"Diferente",IF(ABS(E360-D360)&lt;=Premissas!$B$19*MAX(1,ABS(D360)),"OK","Diferente")))</f>
        <v>OK</v>
      </c>
    </row>
    <row r="361" customFormat="false" ht="15" hidden="false" customHeight="false" outlineLevel="0" collapsed="false">
      <c r="A361" s="4" t="s">
        <v>156</v>
      </c>
      <c r="B361" s="4" t="s">
        <v>157</v>
      </c>
      <c r="C361" s="4" t="n">
        <v>5</v>
      </c>
      <c r="D361" s="28" t="n">
        <v>60.4182898972715</v>
      </c>
      <c r="E361" s="29" t="n">
        <f aca="false">KPIs!G39</f>
        <v>60.4182898972715</v>
      </c>
      <c r="F361" s="26" t="n">
        <f aca="false">IF(OR(D361="n/a",E361="n/a"),"",E361-D361)</f>
        <v>0</v>
      </c>
      <c r="G361" s="22" t="str">
        <f aca="false">IF(AND(D361="n/a",E361="n/a"),"OK",IF(OR(D361="n/a",E361="n/a"),"Diferente",IF(ABS(E361-D361)&lt;=Premissas!$B$19*MAX(1,ABS(D361)),"OK","Diferente")))</f>
        <v>OK</v>
      </c>
    </row>
    <row r="362" customFormat="false" ht="15" hidden="false" customHeight="false" outlineLevel="0" collapsed="false">
      <c r="A362" s="4" t="s">
        <v>156</v>
      </c>
      <c r="B362" s="4" t="s">
        <v>157</v>
      </c>
      <c r="C362" s="4" t="n">
        <v>6</v>
      </c>
      <c r="D362" s="28" t="n">
        <v>63.1694915451221</v>
      </c>
      <c r="E362" s="29" t="n">
        <f aca="false">KPIs!H39</f>
        <v>63.1694915451221</v>
      </c>
      <c r="F362" s="26" t="n">
        <f aca="false">IF(OR(D362="n/a",E362="n/a"),"",E362-D362)</f>
        <v>0</v>
      </c>
      <c r="G362" s="22" t="str">
        <f aca="false">IF(AND(D362="n/a",E362="n/a"),"OK",IF(OR(D362="n/a",E362="n/a"),"Diferente",IF(ABS(E362-D362)&lt;=Premissas!$B$19*MAX(1,ABS(D362)),"OK","Diferente")))</f>
        <v>OK</v>
      </c>
    </row>
    <row r="363" customFormat="false" ht="15" hidden="false" customHeight="false" outlineLevel="0" collapsed="false">
      <c r="A363" s="4" t="s">
        <v>156</v>
      </c>
      <c r="B363" s="4" t="s">
        <v>157</v>
      </c>
      <c r="C363" s="4" t="n">
        <v>7</v>
      </c>
      <c r="D363" s="28" t="n">
        <v>62.8232081905043</v>
      </c>
      <c r="E363" s="29" t="n">
        <f aca="false">KPIs!I39</f>
        <v>62.8232081905043</v>
      </c>
      <c r="F363" s="26" t="n">
        <f aca="false">IF(OR(D363="n/a",E363="n/a"),"",E363-D363)</f>
        <v>0</v>
      </c>
      <c r="G363" s="22" t="str">
        <f aca="false">IF(AND(D363="n/a",E363="n/a"),"OK",IF(OR(D363="n/a",E363="n/a"),"Diferente",IF(ABS(E363-D363)&lt;=Premissas!$B$19*MAX(1,ABS(D363)),"OK","Diferente")))</f>
        <v>OK</v>
      </c>
    </row>
    <row r="364" customFormat="false" ht="15" hidden="false" customHeight="false" outlineLevel="0" collapsed="false">
      <c r="A364" s="4" t="s">
        <v>156</v>
      </c>
      <c r="B364" s="4" t="s">
        <v>157</v>
      </c>
      <c r="C364" s="4" t="n">
        <v>8</v>
      </c>
      <c r="D364" s="28" t="n">
        <v>64.5101860514279</v>
      </c>
      <c r="E364" s="29" t="n">
        <f aca="false">KPIs!J39</f>
        <v>64.5101860514279</v>
      </c>
      <c r="F364" s="26" t="n">
        <f aca="false">IF(OR(D364="n/a",E364="n/a"),"",E364-D364)</f>
        <v>0</v>
      </c>
      <c r="G364" s="22" t="str">
        <f aca="false">IF(AND(D364="n/a",E364="n/a"),"OK",IF(OR(D364="n/a",E364="n/a"),"Diferente",IF(ABS(E364-D364)&lt;=Premissas!$B$19*MAX(1,ABS(D364)),"OK","Diferente")))</f>
        <v>OK</v>
      </c>
    </row>
    <row r="365" customFormat="false" ht="15" hidden="false" customHeight="false" outlineLevel="0" collapsed="false">
      <c r="A365" s="4" t="s">
        <v>156</v>
      </c>
      <c r="B365" s="4" t="s">
        <v>157</v>
      </c>
      <c r="C365" s="4" t="n">
        <v>9</v>
      </c>
      <c r="D365" s="28" t="n">
        <v>62.9226087721943</v>
      </c>
      <c r="E365" s="29" t="n">
        <f aca="false">KPIs!K39</f>
        <v>62.9226087721943</v>
      </c>
      <c r="F365" s="26" t="n">
        <f aca="false">IF(OR(D365="n/a",E365="n/a"),"",E365-D365)</f>
        <v>0</v>
      </c>
      <c r="G365" s="22" t="str">
        <f aca="false">IF(AND(D365="n/a",E365="n/a"),"OK",IF(OR(D365="n/a",E365="n/a"),"Diferente",IF(ABS(E365-D365)&lt;=Premissas!$B$19*MAX(1,ABS(D365)),"OK","Diferente")))</f>
        <v>OK</v>
      </c>
    </row>
    <row r="366" customFormat="false" ht="15" hidden="false" customHeight="false" outlineLevel="0" collapsed="false">
      <c r="A366" s="4" t="s">
        <v>156</v>
      </c>
      <c r="B366" s="4" t="s">
        <v>157</v>
      </c>
      <c r="C366" s="4" t="n">
        <v>10</v>
      </c>
      <c r="D366" s="28" t="n">
        <v>64.5321610907432</v>
      </c>
      <c r="E366" s="29" t="n">
        <f aca="false">KPIs!L39</f>
        <v>64.5321610907432</v>
      </c>
      <c r="F366" s="26" t="n">
        <f aca="false">IF(OR(D366="n/a",E366="n/a"),"",E366-D366)</f>
        <v>0</v>
      </c>
      <c r="G366" s="22" t="str">
        <f aca="false">IF(AND(D366="n/a",E366="n/a"),"OK",IF(OR(D366="n/a",E366="n/a"),"Diferente",IF(ABS(E366-D366)&lt;=Premissas!$B$19*MAX(1,ABS(D366)),"OK","Diferente")))</f>
        <v>OK</v>
      </c>
    </row>
    <row r="367" customFormat="false" ht="15" hidden="false" customHeight="false" outlineLevel="0" collapsed="false">
      <c r="A367" s="4" t="s">
        <v>156</v>
      </c>
      <c r="B367" s="4" t="s">
        <v>157</v>
      </c>
      <c r="C367" s="4" t="n">
        <v>11</v>
      </c>
      <c r="D367" s="28" t="n">
        <v>64.6453992472403</v>
      </c>
      <c r="E367" s="29" t="n">
        <f aca="false">KPIs!M39</f>
        <v>64.6453992472403</v>
      </c>
      <c r="F367" s="26" t="n">
        <f aca="false">IF(OR(D367="n/a",E367="n/a"),"",E367-D367)</f>
        <v>0</v>
      </c>
      <c r="G367" s="22" t="str">
        <f aca="false">IF(AND(D367="n/a",E367="n/a"),"OK",IF(OR(D367="n/a",E367="n/a"),"Diferente",IF(ABS(E367-D367)&lt;=Premissas!$B$19*MAX(1,ABS(D367)),"OK","Diferente")))</f>
        <v>OK</v>
      </c>
    </row>
    <row r="368" customFormat="false" ht="15" hidden="false" customHeight="false" outlineLevel="0" collapsed="false">
      <c r="A368" s="4" t="s">
        <v>156</v>
      </c>
      <c r="B368" s="4" t="s">
        <v>157</v>
      </c>
      <c r="C368" s="4" t="n">
        <v>12</v>
      </c>
      <c r="D368" s="28" t="n">
        <v>100.082304939992</v>
      </c>
      <c r="E368" s="29" t="n">
        <f aca="false">KPIs!N39</f>
        <v>100.082304939992</v>
      </c>
      <c r="F368" s="26" t="n">
        <f aca="false">IF(OR(D368="n/a",E368="n/a"),"",E368-D368)</f>
        <v>0</v>
      </c>
      <c r="G368" s="22" t="str">
        <f aca="false">IF(AND(D368="n/a",E368="n/a"),"OK",IF(OR(D368="n/a",E368="n/a"),"Diferente",IF(ABS(E368-D368)&lt;=Premissas!$B$19*MAX(1,ABS(D368)),"OK","Diferente")))</f>
        <v>OK</v>
      </c>
    </row>
    <row r="369" customFormat="false" ht="15" hidden="false" customHeight="false" outlineLevel="0" collapsed="false">
      <c r="A369" s="4" t="s">
        <v>148</v>
      </c>
      <c r="B369" s="4" t="s">
        <v>171</v>
      </c>
      <c r="C369" s="4" t="s">
        <v>172</v>
      </c>
      <c r="D369" s="11" t="n">
        <v>19757144672.3547</v>
      </c>
      <c r="E369" s="16" t="n">
        <f aca="false">KPIs!C41</f>
        <v>19757144672.3547</v>
      </c>
      <c r="F369" s="26" t="n">
        <f aca="false">IF(OR(D369="n/a",E369="n/a"),"",E369-D369)</f>
        <v>0</v>
      </c>
      <c r="G369" s="22" t="str">
        <f aca="false">IF(AND(D369="n/a",E369="n/a"),"OK",IF(OR(D369="n/a",E369="n/a"),"Diferente",IF(ABS(E369-D369)&lt;=Premissas!$B$19*MAX(1,ABS(D369)),"OK","Diferente")))</f>
        <v>OK</v>
      </c>
    </row>
  </sheetData>
  <conditionalFormatting sqref="G9:G36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"Diferente"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2026-09-25T23:39:22Z</dcterms:created>
  <dc:creator>openpyxl</dc:creator>
  <dc:description/>
  <dc:language>en-US</dc:language>
  <cp:lastModifiedBy/>
  <dcterms:modified xsi:type="dcterms:W3CDTF">2026-09-25T23:39:22Z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